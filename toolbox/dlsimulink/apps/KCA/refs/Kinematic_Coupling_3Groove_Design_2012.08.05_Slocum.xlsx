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F:\Coding\DLS-Simulink\kmapp\"/>
    </mc:Choice>
  </mc:AlternateContent>
  <xr:revisionPtr revIDLastSave="0" documentId="13_ncr:1_{C5202F74-0FC9-4592-92E1-4A8CF9DCC06A}" xr6:coauthVersionLast="47" xr6:coauthVersionMax="47" xr10:uidLastSave="{00000000-0000-0000-0000-000000000000}"/>
  <bookViews>
    <workbookView xWindow="51495" yWindow="0" windowWidth="29010" windowHeight="17385" xr2:uid="{580A27E4-B59D-439A-9B0C-6206391EB964}"/>
  </bookViews>
  <sheets>
    <sheet name="Couplng.xls" sheetId="1" r:id="rId1"/>
  </sheets>
  <definedNames>
    <definedName name="a">'Couplng.xls'!$H$28</definedName>
    <definedName name="Aba">'Couplng.xls'!$B$65</definedName>
    <definedName name="Abb">'Couplng.xls'!$D$65</definedName>
    <definedName name="Abc">'Couplng.xls'!$B$90</definedName>
    <definedName name="Abd">'Couplng.xls'!$D$90</definedName>
    <definedName name="Abe">'Couplng.xls'!$B$115</definedName>
    <definedName name="Abf">'Couplng.xls'!$D$115</definedName>
    <definedName name="AbthreeN">'Couplng.xls'!#REF!</definedName>
    <definedName name="AbthreeO">'Couplng.xls'!$D$200</definedName>
    <definedName name="AbtwoN">'Couplng.xls'!#REF!</definedName>
    <definedName name="AbtwoO">'Couplng.xls'!$D$199</definedName>
    <definedName name="alpha_1">'Couplng.xls'!$B$81</definedName>
    <definedName name="alpha_2">'Couplng.xls'!$B$106</definedName>
    <definedName name="alpha_3">'Couplng.xls'!$B$131</definedName>
    <definedName name="Alumina">'Couplng.xls'!$G$7</definedName>
    <definedName name="AmthreeN">'Couplng.xls'!#REF!</definedName>
    <definedName name="AmthreeO">'Couplng.xls'!$B$200</definedName>
    <definedName name="AmtwoN">'Couplng.xls'!#REF!</definedName>
    <definedName name="AmtwoO">'Couplng.xls'!$B$199</definedName>
    <definedName name="Angone">'Couplng.xls'!$B$187</definedName>
    <definedName name="AngoneN">'Couplng.xls'!$B$191</definedName>
    <definedName name="Angthree">'Couplng.xls'!$B$189</definedName>
    <definedName name="AngthreeN">'Couplng.xls'!$B$193</definedName>
    <definedName name="Angtwo">'Couplng.xls'!$B$188</definedName>
    <definedName name="AngtwoN">'Couplng.xls'!$B$192</definedName>
    <definedName name="Aone">'Couplng.xls'!$E$187</definedName>
    <definedName name="Aot">'Couplng.xls'!$E$191</definedName>
    <definedName name="AotN">'Couplng.xls'!$B$195</definedName>
    <definedName name="Athree">'Couplng.xls'!$E$189</definedName>
    <definedName name="Ato">'Couplng.xls'!$E$193</definedName>
    <definedName name="AtoN">'Couplng.xls'!$B$197</definedName>
    <definedName name="Att">'Couplng.xls'!$E$192</definedName>
    <definedName name="AttN">'Couplng.xls'!$B$196</definedName>
    <definedName name="Atwo">'Couplng.xls'!$E$188</definedName>
    <definedName name="Bba">'Couplng.xls'!$B$66</definedName>
    <definedName name="Bbb">'Couplng.xls'!$D$66</definedName>
    <definedName name="Bbc">'Couplng.xls'!$B$91</definedName>
    <definedName name="Bbd">'Couplng.xls'!$D$91</definedName>
    <definedName name="Bbe">'Couplng.xls'!$B$116</definedName>
    <definedName name="Bbf">'Couplng.xls'!$D$116</definedName>
    <definedName name="beta_1">'Couplng.xls'!$B$82</definedName>
    <definedName name="beta_2">'Couplng.xls'!$B$107</definedName>
    <definedName name="beta_3">'Couplng.xls'!$B$132</definedName>
    <definedName name="Costheta">'Couplng.xls'!$B$12</definedName>
    <definedName name="Daone">'Couplng.xls'!$B$77</definedName>
    <definedName name="Dathree">'Couplng.xls'!$B$127</definedName>
    <definedName name="Datwo">'Couplng.xls'!$B$102</definedName>
    <definedName name="Dball">'Couplng.xls'!$B$59</definedName>
    <definedName name="Dbeq">'Couplng.xls'!$B$8</definedName>
    <definedName name="Dbone">'Couplng.xls'!$B$75</definedName>
    <definedName name="Dbthree">'Couplng.xls'!$B$125</definedName>
    <definedName name="Dbtwo">'Couplng.xls'!$B$100</definedName>
    <definedName name="Dcone">'Couplng.xls'!$D$183</definedName>
    <definedName name="Dcoup">'Couplng.xls'!$B$13</definedName>
    <definedName name="Dcoupling">'Couplng.xls'!$B$60</definedName>
    <definedName name="Dcthree">'Couplng.xls'!$D$185</definedName>
    <definedName name="Dctwo">'Couplng.xls'!$D$184</definedName>
    <definedName name="delfive">'Couplng.xls'!$G$44</definedName>
    <definedName name="delfour">'Couplng.xls'!$G$41</definedName>
    <definedName name="delone">'Couplng.xls'!$G$36</definedName>
    <definedName name="delsix">'Couplng.xls'!$G$45</definedName>
    <definedName name="DeltaX">'Couplng.xls'!$B$215</definedName>
    <definedName name="DeltaY">'Couplng.xls'!$B$216</definedName>
    <definedName name="DeltaZ">'Couplng.xls'!$B$217</definedName>
    <definedName name="delthree">'Couplng.xls'!$G$40</definedName>
    <definedName name="deltwo">'Couplng.xls'!$G$37</definedName>
    <definedName name="DLotI">'Couplng.xls'!$F$173</definedName>
    <definedName name="DLtoI">'Couplng.xls'!$F$175</definedName>
    <definedName name="DLttI">'Couplng.xls'!$F$174</definedName>
    <definedName name="Dpin">'Couplng.xls'!$B$59</definedName>
    <definedName name="Dpinarch">'Couplng.xls'!$B$10</definedName>
    <definedName name="Dpone">'Couplng.xls'!$B$76</definedName>
    <definedName name="Dpthree">'Couplng.xls'!$B$126</definedName>
    <definedName name="Dptwo">'Couplng.xls'!$B$101</definedName>
    <definedName name="dxc">'Couplng.xls'!$F$183</definedName>
    <definedName name="dxone">'Couplng.xls'!$B$168</definedName>
    <definedName name="dxthree">'Couplng.xls'!$F$168</definedName>
    <definedName name="dxtwo">'Couplng.xls'!$D$168</definedName>
    <definedName name="dyc">'Couplng.xls'!$F$184</definedName>
    <definedName name="dyone">'Couplng.xls'!$B$169</definedName>
    <definedName name="dythree">'Couplng.xls'!$F$169</definedName>
    <definedName name="dytwo">'Couplng.xls'!$D$169</definedName>
    <definedName name="dzc">'Couplng.xls'!$F$185</definedName>
    <definedName name="dzone">'Couplng.xls'!$B$170</definedName>
    <definedName name="dzthree">'Couplng.xls'!$F$170</definedName>
    <definedName name="dztwo">'Couplng.xls'!$D$170</definedName>
    <definedName name="EAlumina">'Couplng.xls'!$G$12</definedName>
    <definedName name="Ebone">'Couplng.xls'!$B$72</definedName>
    <definedName name="Ebthree">'Couplng.xls'!$B$122</definedName>
    <definedName name="Ebtwo">'Couplng.xls'!$B$97</definedName>
    <definedName name="Eeone">'Couplng.xls'!$B$74</definedName>
    <definedName name="Eethree">'Couplng.xls'!$B$124</definedName>
    <definedName name="Eetwo">'Couplng.xls'!$B$99</definedName>
    <definedName name="Egone">'Couplng.xls'!$B$69</definedName>
    <definedName name="Egthree">'Couplng.xls'!$B$119</definedName>
    <definedName name="Egtwo">'Couplng.xls'!$B$94</definedName>
    <definedName name="Eother_4">'Couplng.xls'!$G$15</definedName>
    <definedName name="Eplastic">'Couplng.xls'!$G$12</definedName>
    <definedName name="EpsX">'Couplng.xls'!$B$206</definedName>
    <definedName name="EpsY">'Couplng.xls'!$B$207</definedName>
    <definedName name="EpsZ">'Couplng.xls'!$B$208</definedName>
    <definedName name="ESiN">'Couplng.xls'!$G$14</definedName>
    <definedName name="ESteel">'Couplng.xls'!$G$13</definedName>
    <definedName name="fbnfive">'Couplng.xls'!$B$157</definedName>
    <definedName name="fbnfour">'Couplng.xls'!$B$156</definedName>
    <definedName name="fbnone">'Couplng.xls'!$B$153</definedName>
    <definedName name="fbnsix">'Couplng.xls'!$B$158</definedName>
    <definedName name="fbnthree">'Couplng.xls'!$B$155</definedName>
    <definedName name="fbntwo">'Couplng.xls'!$B$154</definedName>
    <definedName name="ffive">'Couplng.xls'!$D$157</definedName>
    <definedName name="ffour">'Couplng.xls'!$D$156</definedName>
    <definedName name="FLx">'Couplng.xls'!$B$28</definedName>
    <definedName name="FLy">'Couplng.xls'!$B$29</definedName>
    <definedName name="FLz">'Couplng.xls'!$B$30</definedName>
    <definedName name="fone">'Couplng.xls'!$D$153</definedName>
    <definedName name="Fpreload">'Couplng.xls'!$B$14</definedName>
    <definedName name="Fpxone">'Couplng.xls'!$B$136</definedName>
    <definedName name="Fpxthree">'Couplng.xls'!$F$136</definedName>
    <definedName name="Fpxtwo">'Couplng.xls'!$D$136</definedName>
    <definedName name="Fpyone">'Couplng.xls'!$B$137</definedName>
    <definedName name="Fpythree">'Couplng.xls'!$F$137</definedName>
    <definedName name="Fpytwo">'Couplng.xls'!$D$137</definedName>
    <definedName name="Fpzone">'Couplng.xls'!$B$138</definedName>
    <definedName name="Fpzthree">'Couplng.xls'!$F$138</definedName>
    <definedName name="Fpztwo">'Couplng.xls'!$D$138</definedName>
    <definedName name="fsix">'Couplng.xls'!$D$158</definedName>
    <definedName name="fthree">'Couplng.xls'!$D$155</definedName>
    <definedName name="ftwo">'Couplng.xls'!$D$154</definedName>
    <definedName name="Gba">'Couplng.xls'!$B$67</definedName>
    <definedName name="Gbb">'Couplng.xls'!$D$67</definedName>
    <definedName name="Gbc">'Couplng.xls'!$B$92</definedName>
    <definedName name="Gbd">'Couplng.xls'!$D$92</definedName>
    <definedName name="Gbe">'Couplng.xls'!$B$117</definedName>
    <definedName name="Gbf">'Couplng.xls'!$D$117</definedName>
    <definedName name="lambda_1">'Couplng.xls'!$B$83</definedName>
    <definedName name="lambda_2">'Couplng.xls'!$B$108</definedName>
    <definedName name="lambda_3">'Couplng.xls'!$B$133</definedName>
    <definedName name="LotI">'Couplng.xls'!$B$173</definedName>
    <definedName name="LotN">'Couplng.xls'!$D$173</definedName>
    <definedName name="LtoI">'Couplng.xls'!$B$175</definedName>
    <definedName name="LtoN">'Couplng.xls'!$D$175</definedName>
    <definedName name="LttI">'Couplng.xls'!$B$174</definedName>
    <definedName name="LttN">'Couplng.xls'!$D$174</definedName>
    <definedName name="Matlab">'Couplng.xls'!$B$19</definedName>
    <definedName name="matlabball">'Couplng.xls'!$B$19</definedName>
    <definedName name="matlabgroove">'Couplng.xls'!$B$20</definedName>
    <definedName name="Mone">'Couplng.xls'!$E$187</definedName>
    <definedName name="Mthree">'Couplng.xls'!$E$189</definedName>
    <definedName name="Mtwo">'Couplng.xls'!$E$188</definedName>
    <definedName name="Nylon">'Couplng.xls'!$G$7</definedName>
    <definedName name="Other_4">'Couplng.xls'!$G$10</definedName>
    <definedName name="plastic">'Couplng.xls'!$G$7</definedName>
    <definedName name="_xlnm.Print_Area" localSheetId="0">'Couplng.xls'!$A$1:$H$218</definedName>
    <definedName name="Raone">'Couplng.xls'!$B$77</definedName>
    <definedName name="Rathree">'Couplng.xls'!$B$127</definedName>
    <definedName name="Ratwo">'Couplng.xls'!$B$102</definedName>
    <definedName name="Rbmajor">'Couplng.xls'!$B$10</definedName>
    <definedName name="Rbminor">'Couplng.xls'!$B$9</definedName>
    <definedName name="Reone">'Couplng.xls'!$B$78</definedName>
    <definedName name="Rethree">'Couplng.xls'!$B$128</definedName>
    <definedName name="Retwo">'Couplng.xls'!$B$103</definedName>
    <definedName name="Rgone">'Couplng.xls'!$B$71</definedName>
    <definedName name="Rgroove">'Couplng.xls'!$B$11</definedName>
    <definedName name="Rgthree">'Couplng.xls'!$B$121</definedName>
    <definedName name="Rgtwo">'Couplng.xls'!$B$96</definedName>
    <definedName name="Rpone">'Couplng.xls'!$B$76</definedName>
    <definedName name="Rpthree">'Couplng.xls'!$B$126</definedName>
    <definedName name="Rptwo">'Couplng.xls'!$B$101</definedName>
    <definedName name="SiN">'Couplng.xls'!$G$9</definedName>
    <definedName name="Sone">'Couplng.xls'!$B$84</definedName>
    <definedName name="Steel">'Couplng.xls'!$G$8</definedName>
    <definedName name="Sthree">'Couplng.xls'!$B$134</definedName>
    <definedName name="Stwo">'Couplng.xls'!$B$109</definedName>
    <definedName name="theta_1">'Couplng.xls'!$B$80</definedName>
    <definedName name="theta_2">'Couplng.xls'!$B$105</definedName>
    <definedName name="theta_3">'Couplng.xls'!$B$130</definedName>
    <definedName name="Tot">'Couplng.xls'!$B$204</definedName>
    <definedName name="Tto">'Couplng.xls'!$B$203</definedName>
    <definedName name="Ttt">'Couplng.xls'!$B$202</definedName>
    <definedName name="vAlumina">'Couplng.xls'!$G$17</definedName>
    <definedName name="vbone">'Couplng.xls'!$B$73</definedName>
    <definedName name="vbthree">'Couplng.xls'!$B$123</definedName>
    <definedName name="vbtwo">'Couplng.xls'!$B$98</definedName>
    <definedName name="vgone">'Couplng.xls'!$B$70</definedName>
    <definedName name="vgthree">'Couplng.xls'!$B$120</definedName>
    <definedName name="vgtwo">'Couplng.xls'!$B$95</definedName>
    <definedName name="vother_4">'Couplng.xls'!$G$20</definedName>
    <definedName name="vplastic">'Couplng.xls'!$G$17</definedName>
    <definedName name="vSiN">'Couplng.xls'!$G$19</definedName>
    <definedName name="vSteel">'Couplng.xls'!$G$18</definedName>
    <definedName name="Xba">'Couplng.xls'!$B$62</definedName>
    <definedName name="Xbb">'Couplng.xls'!$D$62</definedName>
    <definedName name="Xbc">'Couplng.xls'!$B$87</definedName>
    <definedName name="Xbd">'Couplng.xls'!$D$87</definedName>
    <definedName name="Xbe">'Couplng.xls'!$B$112</definedName>
    <definedName name="Xbf">'Couplng.xls'!$D$112</definedName>
    <definedName name="xboneN">'Couplng.xls'!$B$164</definedName>
    <definedName name="xboneO">'Couplng.xls'!$B$160</definedName>
    <definedName name="xbthreeN">'Couplng.xls'!$F$164</definedName>
    <definedName name="xbthreeO">'Couplng.xls'!$F$160</definedName>
    <definedName name="xbtwoN">'Couplng.xls'!$D$164</definedName>
    <definedName name="xbtwoO">'Couplng.xls'!$D$160</definedName>
    <definedName name="xci">'Couplng.xls'!$B$183</definedName>
    <definedName name="xcn">'Couplng.xls'!$D$183</definedName>
    <definedName name="Xerr">'Couplng.xls'!$B$15</definedName>
    <definedName name="XL">'Couplng.xls'!$I$28</definedName>
    <definedName name="xpone">'Couplng.xls'!$B$139</definedName>
    <definedName name="xpthree">'Couplng.xls'!$F$139</definedName>
    <definedName name="xptwo">'Couplng.xls'!$D$139</definedName>
    <definedName name="Yba">'Couplng.xls'!$B$63</definedName>
    <definedName name="Ybb">'Couplng.xls'!$D$63</definedName>
    <definedName name="Ybc">'Couplng.xls'!$B$88</definedName>
    <definedName name="Ybd">'Couplng.xls'!$D$88</definedName>
    <definedName name="Ybe">'Couplng.xls'!$B$113</definedName>
    <definedName name="Ybf">'Couplng.xls'!$D$113</definedName>
    <definedName name="yboneN">'Couplng.xls'!$B$165</definedName>
    <definedName name="yboneO">'Couplng.xls'!$B$161</definedName>
    <definedName name="ybthreeN">'Couplng.xls'!$F$165</definedName>
    <definedName name="ybthreeO">'Couplng.xls'!$F$161</definedName>
    <definedName name="ybtwoN">'Couplng.xls'!$D$165</definedName>
    <definedName name="ybtwoO">'Couplng.xls'!$D$161</definedName>
    <definedName name="yci">'Couplng.xls'!$B$184</definedName>
    <definedName name="ycn">'Couplng.xls'!$D$184</definedName>
    <definedName name="Yerr">'Couplng.xls'!$B$16</definedName>
    <definedName name="YL">'Couplng.xls'!$I$29</definedName>
    <definedName name="ypone">'Couplng.xls'!$B$140</definedName>
    <definedName name="ypthree">'Couplng.xls'!$F$140</definedName>
    <definedName name="yptwo">'Couplng.xls'!$D$140</definedName>
    <definedName name="Zba">'Couplng.xls'!$B$64</definedName>
    <definedName name="Zbb">'Couplng.xls'!$D$64</definedName>
    <definedName name="Zbc">'Couplng.xls'!$B$89</definedName>
    <definedName name="Zbd">'Couplng.xls'!$D$89</definedName>
    <definedName name="Zbe">'Couplng.xls'!$B$114</definedName>
    <definedName name="Zbf">'Couplng.xls'!$D$114</definedName>
    <definedName name="zboneN">'Couplng.xls'!$B$166</definedName>
    <definedName name="zboneO">'Couplng.xls'!$B$162</definedName>
    <definedName name="zbthreeN">'Couplng.xls'!$F$166</definedName>
    <definedName name="zbthreeO">'Couplng.xls'!$F$162</definedName>
    <definedName name="zbtwoN">'Couplng.xls'!$D$166</definedName>
    <definedName name="zbtwoO">'Couplng.xls'!$D$162</definedName>
    <definedName name="zci">'Couplng.xls'!$B$185</definedName>
    <definedName name="zcn">'Couplng.xls'!$D$185</definedName>
    <definedName name="Zerr">'Couplng.xls'!$B$17</definedName>
    <definedName name="ZL">'Couplng.xls'!$I$30</definedName>
    <definedName name="zpone">'Couplng.xls'!$B$141</definedName>
    <definedName name="zpthree">'Couplng.xls'!$F$141</definedName>
    <definedName name="zptwo">'Couplng.xls'!$D$141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71" i="1"/>
  <c r="B84" i="1"/>
  <c r="C21" i="1" s="1"/>
  <c r="D21" i="1" s="1"/>
  <c r="C25" i="1"/>
  <c r="B69" i="1"/>
  <c r="B60" i="1"/>
  <c r="F140" i="1" s="1"/>
  <c r="B59" i="1"/>
  <c r="D114" i="1" s="1"/>
  <c r="B76" i="1"/>
  <c r="B77" i="1"/>
  <c r="I30" i="1"/>
  <c r="I29" i="1"/>
  <c r="I28" i="1"/>
  <c r="B125" i="1"/>
  <c r="D64" i="1"/>
  <c r="B75" i="1"/>
  <c r="B67" i="1"/>
  <c r="A148" i="1" s="1"/>
  <c r="D67" i="1"/>
  <c r="B148" i="1" s="1"/>
  <c r="B89" i="1"/>
  <c r="D89" i="1"/>
  <c r="B100" i="1"/>
  <c r="B92" i="1"/>
  <c r="C148" i="1" s="1"/>
  <c r="D92" i="1"/>
  <c r="D148" i="1" s="1"/>
  <c r="B114" i="1"/>
  <c r="B117" i="1"/>
  <c r="E148" i="1" s="1"/>
  <c r="D117" i="1"/>
  <c r="F148" i="1" s="1"/>
  <c r="B115" i="1"/>
  <c r="E146" i="1" s="1"/>
  <c r="D115" i="1"/>
  <c r="F146" i="1" s="1"/>
  <c r="B90" i="1"/>
  <c r="D90" i="1"/>
  <c r="D146" i="1" s="1"/>
  <c r="B116" i="1"/>
  <c r="E147" i="1" s="1"/>
  <c r="D116" i="1"/>
  <c r="F147" i="1" s="1"/>
  <c r="B91" i="1"/>
  <c r="D91" i="1"/>
  <c r="B65" i="1"/>
  <c r="A146" i="1" s="1"/>
  <c r="D65" i="1"/>
  <c r="B146" i="1" s="1"/>
  <c r="B66" i="1"/>
  <c r="A147" i="1" s="1"/>
  <c r="D66" i="1"/>
  <c r="B147" i="1" s="1"/>
  <c r="F48" i="1"/>
  <c r="E48" i="1"/>
  <c r="D48" i="1"/>
  <c r="B96" i="1"/>
  <c r="B101" i="1"/>
  <c r="B102" i="1"/>
  <c r="B121" i="1"/>
  <c r="B126" i="1"/>
  <c r="B127" i="1"/>
  <c r="B98" i="1"/>
  <c r="G12" i="1"/>
  <c r="B97" i="1"/>
  <c r="B95" i="1"/>
  <c r="B94" i="1"/>
  <c r="G7" i="1"/>
  <c r="G10" i="1"/>
  <c r="B109" i="1"/>
  <c r="B119" i="1"/>
  <c r="B120" i="1"/>
  <c r="B122" i="1"/>
  <c r="B123" i="1"/>
  <c r="B134" i="1"/>
  <c r="B73" i="1"/>
  <c r="B72" i="1"/>
  <c r="B70" i="1"/>
  <c r="B124" i="1" s="1"/>
  <c r="B74" i="1"/>
  <c r="B99" i="1"/>
  <c r="B137" i="1"/>
  <c r="D137" i="1"/>
  <c r="F137" i="1"/>
  <c r="H147" i="1"/>
  <c r="B141" i="1"/>
  <c r="D141" i="1"/>
  <c r="F141" i="1"/>
  <c r="D140" i="1"/>
  <c r="B138" i="1"/>
  <c r="D138" i="1"/>
  <c r="F138" i="1"/>
  <c r="B139" i="1"/>
  <c r="B136" i="1"/>
  <c r="D136" i="1"/>
  <c r="F136" i="1"/>
  <c r="H146" i="1"/>
  <c r="E196" i="1"/>
  <c r="D63" i="1" l="1"/>
  <c r="D87" i="1"/>
  <c r="H148" i="1"/>
  <c r="B64" i="1"/>
  <c r="B62" i="1"/>
  <c r="B63" i="1"/>
  <c r="B87" i="1"/>
  <c r="I147" i="1"/>
  <c r="I148" i="1"/>
  <c r="I146" i="1"/>
  <c r="B128" i="1"/>
  <c r="B129" i="1" s="1"/>
  <c r="B130" i="1" s="1"/>
  <c r="B132" i="1" s="1"/>
  <c r="B78" i="1"/>
  <c r="B79" i="1" s="1"/>
  <c r="B80" i="1" s="1"/>
  <c r="B81" i="1" s="1"/>
  <c r="B103" i="1"/>
  <c r="B104" i="1" s="1"/>
  <c r="B105" i="1" s="1"/>
  <c r="B108" i="1" s="1"/>
  <c r="D162" i="1"/>
  <c r="B149" i="1"/>
  <c r="D113" i="1"/>
  <c r="B113" i="1"/>
  <c r="F161" i="1" s="1"/>
  <c r="F139" i="1"/>
  <c r="D88" i="1"/>
  <c r="D151" i="1" s="1"/>
  <c r="B88" i="1"/>
  <c r="C149" i="1" s="1"/>
  <c r="B140" i="1"/>
  <c r="H149" i="1" s="1"/>
  <c r="D150" i="1"/>
  <c r="F149" i="1"/>
  <c r="C150" i="1"/>
  <c r="D160" i="1"/>
  <c r="C147" i="1"/>
  <c r="C146" i="1"/>
  <c r="B112" i="1"/>
  <c r="D147" i="1"/>
  <c r="F162" i="1"/>
  <c r="D112" i="1"/>
  <c r="F150" i="1" s="1"/>
  <c r="D139" i="1"/>
  <c r="D62" i="1"/>
  <c r="B151" i="1" s="1"/>
  <c r="H151" i="1" l="1"/>
  <c r="C151" i="1"/>
  <c r="A150" i="1"/>
  <c r="D161" i="1"/>
  <c r="E149" i="1"/>
  <c r="B162" i="1"/>
  <c r="B185" i="1" s="1"/>
  <c r="F212" i="1" s="1"/>
  <c r="D149" i="1"/>
  <c r="B160" i="1"/>
  <c r="E151" i="1"/>
  <c r="I150" i="1"/>
  <c r="B107" i="1"/>
  <c r="B106" i="1"/>
  <c r="B82" i="1"/>
  <c r="B83" i="1"/>
  <c r="B133" i="1"/>
  <c r="B131" i="1"/>
  <c r="I151" i="1"/>
  <c r="I149" i="1"/>
  <c r="E150" i="1"/>
  <c r="A151" i="1"/>
  <c r="B161" i="1"/>
  <c r="B173" i="1" s="1"/>
  <c r="H150" i="1"/>
  <c r="F151" i="1"/>
  <c r="B150" i="1"/>
  <c r="F160" i="1"/>
  <c r="A149" i="1"/>
  <c r="B153" i="1" a="1"/>
  <c r="D153" i="1" a="1"/>
  <c r="F30" i="1"/>
  <c r="E191" i="1" l="1"/>
  <c r="D157" i="1"/>
  <c r="D155" i="1"/>
  <c r="D158" i="1"/>
  <c r="D153" i="1"/>
  <c r="D156" i="1"/>
  <c r="D154" i="1"/>
  <c r="B154" i="1"/>
  <c r="B158" i="1"/>
  <c r="B156" i="1"/>
  <c r="B153" i="1"/>
  <c r="B155" i="1"/>
  <c r="B157" i="1"/>
  <c r="B175" i="1"/>
  <c r="E192" i="1"/>
  <c r="B174" i="1"/>
  <c r="E193" i="1"/>
  <c r="B189" i="1" l="1"/>
  <c r="B187" i="1"/>
  <c r="B41" i="1"/>
  <c r="I41" i="1"/>
  <c r="H41" i="1"/>
  <c r="G41" i="1"/>
  <c r="I37" i="1"/>
  <c r="B37" i="1"/>
  <c r="H37" i="1"/>
  <c r="G37" i="1"/>
  <c r="B200" i="1"/>
  <c r="D200" i="1" s="1"/>
  <c r="B188" i="1"/>
  <c r="B199" i="1" s="1"/>
  <c r="B44" i="1"/>
  <c r="I44" i="1"/>
  <c r="G44" i="1"/>
  <c r="H44" i="1"/>
  <c r="B40" i="1"/>
  <c r="I40" i="1"/>
  <c r="G40" i="1"/>
  <c r="H40" i="1"/>
  <c r="D40" i="1" s="1"/>
  <c r="E40" i="1" s="1"/>
  <c r="B36" i="1"/>
  <c r="I36" i="1"/>
  <c r="H36" i="1"/>
  <c r="G36" i="1"/>
  <c r="B45" i="1"/>
  <c r="I45" i="1"/>
  <c r="G45" i="1"/>
  <c r="H45" i="1"/>
  <c r="D41" i="1" l="1"/>
  <c r="E41" i="1" s="1"/>
  <c r="C22" i="1"/>
  <c r="D44" i="1"/>
  <c r="E44" i="1" s="1"/>
  <c r="D45" i="1"/>
  <c r="E45" i="1" s="1"/>
  <c r="D36" i="1"/>
  <c r="E36" i="1" s="1"/>
  <c r="D37" i="1"/>
  <c r="E37" i="1" s="1"/>
  <c r="D199" i="1"/>
  <c r="D179" i="1"/>
  <c r="F165" i="1"/>
  <c r="F169" i="1" s="1"/>
  <c r="F166" i="1"/>
  <c r="F170" i="1" s="1"/>
  <c r="F164" i="1"/>
  <c r="D177" i="1"/>
  <c r="E195" i="1"/>
  <c r="B166" i="1"/>
  <c r="B170" i="1" s="1"/>
  <c r="B164" i="1"/>
  <c r="B168" i="1" s="1"/>
  <c r="B165" i="1"/>
  <c r="B169" i="1" s="1"/>
  <c r="D178" i="1"/>
  <c r="D166" i="1"/>
  <c r="D170" i="1" s="1"/>
  <c r="D164" i="1"/>
  <c r="D165" i="1"/>
  <c r="D169" i="1" s="1"/>
  <c r="B183" i="1"/>
  <c r="C24" i="1"/>
  <c r="C23" i="1"/>
  <c r="F210" i="1" l="1"/>
  <c r="F28" i="1"/>
  <c r="B196" i="1"/>
  <c r="F168" i="1"/>
  <c r="D175" i="1"/>
  <c r="D168" i="1"/>
  <c r="D174" i="1"/>
  <c r="B195" i="1"/>
  <c r="B197" i="1"/>
  <c r="D173" i="1"/>
  <c r="B184" i="1"/>
  <c r="F29" i="1" l="1"/>
  <c r="F211" i="1"/>
  <c r="B193" i="1"/>
  <c r="E187" i="1"/>
  <c r="B202" i="1" s="1"/>
  <c r="F173" i="1"/>
  <c r="A177" i="1" s="1"/>
  <c r="F177" i="1" s="1"/>
  <c r="D183" i="1"/>
  <c r="D184" i="1"/>
  <c r="E208" i="1"/>
  <c r="B191" i="1"/>
  <c r="E189" i="1"/>
  <c r="B204" i="1" s="1"/>
  <c r="E188" i="1"/>
  <c r="B203" i="1" s="1"/>
  <c r="F174" i="1"/>
  <c r="A178" i="1" s="1"/>
  <c r="F178" i="1" s="1"/>
  <c r="B192" i="1"/>
  <c r="F175" i="1"/>
  <c r="A179" i="1" s="1"/>
  <c r="F179" i="1" s="1"/>
  <c r="D185" i="1"/>
  <c r="E207" i="1"/>
  <c r="E206" i="1"/>
  <c r="B208" i="1" l="1"/>
  <c r="F183" i="1"/>
  <c r="D210" i="1" s="1"/>
  <c r="A211" i="1"/>
  <c r="B210" i="1"/>
  <c r="B54" i="1"/>
  <c r="F184" i="1"/>
  <c r="D211" i="1" s="1"/>
  <c r="F185" i="1"/>
  <c r="D212" i="1" s="1"/>
  <c r="B206" i="1"/>
  <c r="B207" i="1"/>
  <c r="B212" i="1" l="1"/>
  <c r="C211" i="1"/>
  <c r="B52" i="1"/>
  <c r="A212" i="1"/>
  <c r="B53" i="1"/>
  <c r="C210" i="1"/>
  <c r="D51" i="1" a="1"/>
  <c r="B215" i="1" a="1"/>
  <c r="B218" i="1" l="1"/>
  <c r="B216" i="1"/>
  <c r="B215" i="1"/>
  <c r="B49" i="1" s="1"/>
  <c r="B217" i="1"/>
  <c r="G53" i="1"/>
  <c r="E53" i="1"/>
  <c r="D51" i="1"/>
  <c r="D53" i="1"/>
  <c r="E52" i="1"/>
  <c r="F52" i="1"/>
  <c r="F51" i="1"/>
  <c r="G51" i="1"/>
  <c r="D52" i="1"/>
  <c r="F54" i="1"/>
  <c r="D54" i="1"/>
  <c r="E54" i="1"/>
  <c r="F53" i="1"/>
  <c r="G52" i="1"/>
  <c r="G54" i="1"/>
  <c r="E51" i="1"/>
  <c r="B51" i="1" l="1"/>
  <c r="H33" i="1"/>
  <c r="B33" i="1"/>
  <c r="B50" i="1"/>
  <c r="E33" i="1"/>
  <c r="I33" i="1" l="1"/>
  <c r="E49" i="1"/>
  <c r="C26" i="1" s="1"/>
</calcChain>
</file>

<file path=xl/sharedStrings.xml><?xml version="1.0" encoding="utf-8"?>
<sst xmlns="http://schemas.openxmlformats.org/spreadsheetml/2006/main" count="447" uniqueCount="387">
  <si>
    <t>To design three groove kinematic couplings</t>
  </si>
  <si>
    <t>Equivelent diameter ball that would contact the groove at the same points</t>
  </si>
  <si>
    <t>Material properties</t>
  </si>
  <si>
    <t>Groove radius (negative for a trough)</t>
  </si>
  <si>
    <t>Costheta =</t>
  </si>
  <si>
    <t>Is ball major radius along groove axis?</t>
  </si>
  <si>
    <t>Coupling diameter</t>
  </si>
  <si>
    <t>plastic</t>
  </si>
  <si>
    <t>RC 62 Steel</t>
  </si>
  <si>
    <t>X location of error reporting</t>
  </si>
  <si>
    <t>Elastic modulus</t>
  </si>
  <si>
    <t>Y location of error reporting</t>
  </si>
  <si>
    <t>Z location of error reporting</t>
  </si>
  <si>
    <t>Poisson ratio</t>
  </si>
  <si>
    <t>Min. yield strength (Pa, psi)</t>
  </si>
  <si>
    <t>Results:  Hertz stresses and deformations</t>
  </si>
  <si>
    <t>Error displacements at the point of interest (micron)</t>
  </si>
  <si>
    <t>DeltaX</t>
  </si>
  <si>
    <t>DeltaY</t>
  </si>
  <si>
    <t>DeltaZ</t>
  </si>
  <si>
    <t>Contact ellipse</t>
  </si>
  <si>
    <t>Groove normal forces</t>
  </si>
  <si>
    <t>Contact stress (Pa)</t>
  </si>
  <si>
    <t>Deflection (+into ball)</t>
  </si>
  <si>
    <t>Fbnone</t>
  </si>
  <si>
    <t>sigone</t>
  </si>
  <si>
    <t>delone</t>
  </si>
  <si>
    <t>Fbntwo</t>
  </si>
  <si>
    <t>sigtwo</t>
  </si>
  <si>
    <t>deltwo</t>
  </si>
  <si>
    <t>Ball-Groove 2</t>
  </si>
  <si>
    <t>Contact stress</t>
  </si>
  <si>
    <t>Deflection</t>
  </si>
  <si>
    <t>Fbnthree</t>
  </si>
  <si>
    <t>sigthree</t>
  </si>
  <si>
    <t>delthree</t>
  </si>
  <si>
    <t>Fbnfour</t>
  </si>
  <si>
    <t>sigfour</t>
  </si>
  <si>
    <t>delfour</t>
  </si>
  <si>
    <t>Ball-Groove 3</t>
  </si>
  <si>
    <t>Fbnfive</t>
  </si>
  <si>
    <t>sigfive</t>
  </si>
  <si>
    <t>delfive</t>
  </si>
  <si>
    <t>Fbnsix</t>
  </si>
  <si>
    <t>sigsix</t>
  </si>
  <si>
    <t>delsix</t>
  </si>
  <si>
    <t>Results: Error motions</t>
  </si>
  <si>
    <t>deltaX</t>
  </si>
  <si>
    <t>RMS</t>
  </si>
  <si>
    <t>deltaY</t>
  </si>
  <si>
    <t>Homogenous Transformation Matrix:</t>
  </si>
  <si>
    <t>deltaZ</t>
  </si>
  <si>
    <t>EpsX</t>
  </si>
  <si>
    <t>EpsY</t>
  </si>
  <si>
    <t>EpsZ</t>
  </si>
  <si>
    <t>Generic data entry for non-120 degree couplings</t>
  </si>
  <si>
    <t>NOTE! For calculation of angular errors, the coupling is assumed to lie in the XY plane.</t>
  </si>
  <si>
    <t xml:space="preserve">     Ball 1 must lie in quadrants 1 0r 2, and Balls 2 &amp; 3 must lie in quadrants 3 and 4</t>
  </si>
  <si>
    <t>Enter X,Y,Z coordinates and alpha, beta, gamma direction  cosines for Ball 1</t>
  </si>
  <si>
    <t>Contact point 1</t>
  </si>
  <si>
    <t>Contact point 2</t>
  </si>
  <si>
    <t xml:space="preserve">Xba = </t>
  </si>
  <si>
    <t xml:space="preserve">Xbb = </t>
  </si>
  <si>
    <t xml:space="preserve">Yba = </t>
  </si>
  <si>
    <t xml:space="preserve">Ybb = </t>
  </si>
  <si>
    <t xml:space="preserve">Zba = </t>
  </si>
  <si>
    <t xml:space="preserve">Zbb = </t>
  </si>
  <si>
    <t xml:space="preserve">Aba = </t>
  </si>
  <si>
    <t xml:space="preserve">Abb = </t>
  </si>
  <si>
    <t xml:space="preserve">Bba = </t>
  </si>
  <si>
    <t xml:space="preserve">Bbb = </t>
  </si>
  <si>
    <t>Gba =</t>
  </si>
  <si>
    <t>Gbb =</t>
  </si>
  <si>
    <t>Enter characteristics for groove 1 and ball 1</t>
  </si>
  <si>
    <t>Egone =</t>
  </si>
  <si>
    <t>vgone =</t>
  </si>
  <si>
    <t>Rgone =</t>
  </si>
  <si>
    <t>Groove radius of curvature</t>
  </si>
  <si>
    <t>Ebone =</t>
  </si>
  <si>
    <t>vbone =</t>
  </si>
  <si>
    <t>Eeone =</t>
  </si>
  <si>
    <t>Equivelent modulus</t>
  </si>
  <si>
    <t>Dbone =</t>
  </si>
  <si>
    <t>Rpone =</t>
  </si>
  <si>
    <t>Raone =</t>
  </si>
  <si>
    <t>Reone =</t>
  </si>
  <si>
    <t>Equivelent radius</t>
  </si>
  <si>
    <t>ctone =</t>
  </si>
  <si>
    <t>Cos(theta)</t>
  </si>
  <si>
    <t>theta_1 =</t>
  </si>
  <si>
    <t>alpha_1 =</t>
  </si>
  <si>
    <t>beta_1 =</t>
  </si>
  <si>
    <t>lambda_1 =</t>
  </si>
  <si>
    <t>Sone =</t>
  </si>
  <si>
    <t>Allowable Hertz stress</t>
  </si>
  <si>
    <t>Enter X,Y,Z coordinates and alpha, beta, gamma direction  cosines for Ball 2</t>
  </si>
  <si>
    <t>Contact point 3</t>
  </si>
  <si>
    <t>Contact point 4</t>
  </si>
  <si>
    <t xml:space="preserve">Xbc = </t>
  </si>
  <si>
    <t xml:space="preserve">Xbd = </t>
  </si>
  <si>
    <t xml:space="preserve">Ybc = </t>
  </si>
  <si>
    <t xml:space="preserve">Ybd = </t>
  </si>
  <si>
    <t xml:space="preserve">Zbc = </t>
  </si>
  <si>
    <t xml:space="preserve">Zbd = </t>
  </si>
  <si>
    <t xml:space="preserve">Abc = </t>
  </si>
  <si>
    <t xml:space="preserve">Abd = </t>
  </si>
  <si>
    <t xml:space="preserve">Bbc = </t>
  </si>
  <si>
    <t xml:space="preserve">Bbd = </t>
  </si>
  <si>
    <t>Gbc =</t>
  </si>
  <si>
    <t>Gbd =</t>
  </si>
  <si>
    <t>Enter characteristics for groove 2 and pin 2</t>
  </si>
  <si>
    <t>Egtwo =</t>
  </si>
  <si>
    <t>vgtwo =</t>
  </si>
  <si>
    <t>Rgtwo =</t>
  </si>
  <si>
    <t>Ebtwo =</t>
  </si>
  <si>
    <t>vbtwo =</t>
  </si>
  <si>
    <t>Eetwo =</t>
  </si>
  <si>
    <t>Dbtwo =</t>
  </si>
  <si>
    <t>Rptwo =</t>
  </si>
  <si>
    <t>Ratwo =</t>
  </si>
  <si>
    <t>Retwo =</t>
  </si>
  <si>
    <t>cttwo =</t>
  </si>
  <si>
    <t>theta_2 =</t>
  </si>
  <si>
    <t>alpha_2 =</t>
  </si>
  <si>
    <t>beta_2 =</t>
  </si>
  <si>
    <t>lambda_2 =</t>
  </si>
  <si>
    <t>Stwo =</t>
  </si>
  <si>
    <t>Enter X,Y,Z coordinates and alpha, beta, gamma direction  cosines for Ball 3</t>
  </si>
  <si>
    <t>Contact point 5</t>
  </si>
  <si>
    <t>Contact point 6</t>
  </si>
  <si>
    <t xml:space="preserve">Xbe = </t>
  </si>
  <si>
    <t xml:space="preserve">Xbf = </t>
  </si>
  <si>
    <t xml:space="preserve">Ybe = </t>
  </si>
  <si>
    <t xml:space="preserve">Ybf = </t>
  </si>
  <si>
    <t xml:space="preserve">Zbe = </t>
  </si>
  <si>
    <t xml:space="preserve">Zbf = </t>
  </si>
  <si>
    <t xml:space="preserve">Abe = </t>
  </si>
  <si>
    <t xml:space="preserve">Abf = </t>
  </si>
  <si>
    <t xml:space="preserve">Bbe = </t>
  </si>
  <si>
    <t xml:space="preserve">Bbf = </t>
  </si>
  <si>
    <t>Gbe =</t>
  </si>
  <si>
    <t>Gbf =</t>
  </si>
  <si>
    <t>Enter characteristics for groove 3 and ball 3</t>
  </si>
  <si>
    <t>Egthree =</t>
  </si>
  <si>
    <t>vgthree =</t>
  </si>
  <si>
    <t>Rgthree =</t>
  </si>
  <si>
    <t>Ebthree =</t>
  </si>
  <si>
    <t>vbthree =</t>
  </si>
  <si>
    <t>Eethree =</t>
  </si>
  <si>
    <t>Dbthree =</t>
  </si>
  <si>
    <t>Rpthree =</t>
  </si>
  <si>
    <t>Rathree =</t>
  </si>
  <si>
    <t>Rethree =</t>
  </si>
  <si>
    <t>ctthree =</t>
  </si>
  <si>
    <t>theta_3 =</t>
  </si>
  <si>
    <t>alpha_3 =</t>
  </si>
  <si>
    <t>beta_3 =</t>
  </si>
  <si>
    <t>lambda_3 =</t>
  </si>
  <si>
    <t>Sthree =</t>
  </si>
  <si>
    <t>Preload forces' X,Y,Z components and coordinates</t>
  </si>
  <si>
    <t xml:space="preserve">Fpxone = </t>
  </si>
  <si>
    <t xml:space="preserve">Fpxtwo = </t>
  </si>
  <si>
    <t xml:space="preserve">Fpxthree = </t>
  </si>
  <si>
    <t>Fpyone =</t>
  </si>
  <si>
    <t>Fpytwo =</t>
  </si>
  <si>
    <t>Fpythree =</t>
  </si>
  <si>
    <t>Fpzone =</t>
  </si>
  <si>
    <t>Fpztwo =</t>
  </si>
  <si>
    <t>Fpzthree =</t>
  </si>
  <si>
    <t>Xpone =</t>
  </si>
  <si>
    <t>Xptwo =</t>
  </si>
  <si>
    <t>Xpthree =</t>
  </si>
  <si>
    <t>Ypone =</t>
  </si>
  <si>
    <t>Yptwo =</t>
  </si>
  <si>
    <t>Ypthree =</t>
  </si>
  <si>
    <t>Zpone =</t>
  </si>
  <si>
    <t>Zptwo =</t>
  </si>
  <si>
    <t>Zpthree =</t>
  </si>
  <si>
    <t>Calculations:</t>
  </si>
  <si>
    <t>Build Force Moment equilibrium matrices: AF = B (Equations 1-6)</t>
  </si>
  <si>
    <t>Matrix A</t>
  </si>
  <si>
    <t>Matrix F</t>
  </si>
  <si>
    <t>B with loads</t>
  </si>
  <si>
    <t>B w/o loads</t>
  </si>
  <si>
    <t>Fbn1</t>
  </si>
  <si>
    <t>Fbn2</t>
  </si>
  <si>
    <t>Fbn3</t>
  </si>
  <si>
    <t>Fbn4</t>
  </si>
  <si>
    <t>Fbn5</t>
  </si>
  <si>
    <t>Fbn6</t>
  </si>
  <si>
    <t>Sum forces X direction</t>
  </si>
  <si>
    <t>Sum forces Y direction</t>
  </si>
  <si>
    <t>Sum forces Z direction</t>
  </si>
  <si>
    <t>Sum moments X axis</t>
  </si>
  <si>
    <t>Sum moments Y axis</t>
  </si>
  <si>
    <t>Sum moments Z axis</t>
  </si>
  <si>
    <t>Res. Forces with applied loads</t>
  </si>
  <si>
    <t>Res forces with preload only</t>
  </si>
  <si>
    <t>fbnone</t>
  </si>
  <si>
    <t>fone</t>
  </si>
  <si>
    <t>fbntwo</t>
  </si>
  <si>
    <t>ftwo</t>
  </si>
  <si>
    <t>fbnthree</t>
  </si>
  <si>
    <t>fthree</t>
  </si>
  <si>
    <t>fbnfour</t>
  </si>
  <si>
    <t>ffour</t>
  </si>
  <si>
    <t>fbnfive</t>
  </si>
  <si>
    <t>ffive</t>
  </si>
  <si>
    <t>fbnsix</t>
  </si>
  <si>
    <t>fsix</t>
  </si>
  <si>
    <t>Original ball corrdinates</t>
  </si>
  <si>
    <t>xboneO</t>
  </si>
  <si>
    <t>xbtwoO</t>
  </si>
  <si>
    <t>xbthreeO</t>
  </si>
  <si>
    <t>yboneO</t>
  </si>
  <si>
    <t>ybtwoO</t>
  </si>
  <si>
    <t>ybthreeO</t>
  </si>
  <si>
    <t>zboneO</t>
  </si>
  <si>
    <t>zbtwoO</t>
  </si>
  <si>
    <t>zbthreeO</t>
  </si>
  <si>
    <t>New ball coordinates (=original + ball deflection*direction cosines)</t>
  </si>
  <si>
    <t>xboneN</t>
  </si>
  <si>
    <t>xbtwoN</t>
  </si>
  <si>
    <t>xbthreeN</t>
  </si>
  <si>
    <t>yboneN</t>
  </si>
  <si>
    <t>ybtwoN</t>
  </si>
  <si>
    <t>ybthreeN</t>
  </si>
  <si>
    <t>zboneN</t>
  </si>
  <si>
    <t>zbtwoN</t>
  </si>
  <si>
    <t>zbthreeN</t>
  </si>
  <si>
    <t>Ball centers' deflections</t>
  </si>
  <si>
    <t>dxone</t>
  </si>
  <si>
    <t>dxtwo</t>
  </si>
  <si>
    <t>dxthree</t>
  </si>
  <si>
    <t>dyone</t>
  </si>
  <si>
    <t>dytwo</t>
  </si>
  <si>
    <t>dythree</t>
  </si>
  <si>
    <t>dzone</t>
  </si>
  <si>
    <t>dztwo</t>
  </si>
  <si>
    <t>dzthree</t>
  </si>
  <si>
    <t>Theory applicability check:</t>
  </si>
  <si>
    <t>Initiial dist. between balls</t>
  </si>
  <si>
    <t>Final dist. between balls</t>
  </si>
  <si>
    <t>Difference</t>
  </si>
  <si>
    <t>LotI</t>
  </si>
  <si>
    <t>LotN</t>
  </si>
  <si>
    <t>DLotI</t>
  </si>
  <si>
    <t>LttI</t>
  </si>
  <si>
    <t>LttN</t>
  </si>
  <si>
    <t>DLttI</t>
  </si>
  <si>
    <t>LtoI</t>
  </si>
  <si>
    <t>LtoN</t>
  </si>
  <si>
    <t>DLtoI</t>
  </si>
  <si>
    <t>Change in length/distance between balls</t>
  </si>
  <si>
    <t>Deflection/ball radius</t>
  </si>
  <si>
    <t>Ratio (should be &gt;5)</t>
  </si>
  <si>
    <t>Coupling centroid is assumed to be at intersection of coupling triangle's angle bisectors</t>
  </si>
  <si>
    <t>Initial centroid</t>
  </si>
  <si>
    <t>Distance from ball to centroid</t>
  </si>
  <si>
    <t>Error motion at centroid from weighted ball motions</t>
  </si>
  <si>
    <t>xci</t>
  </si>
  <si>
    <t>Dcone</t>
  </si>
  <si>
    <t>dxc</t>
  </si>
  <si>
    <t>yci</t>
  </si>
  <si>
    <t>Dctwo</t>
  </si>
  <si>
    <t>dyc</t>
  </si>
  <si>
    <t>zci</t>
  </si>
  <si>
    <t>Dcthree</t>
  </si>
  <si>
    <t>dzc</t>
  </si>
  <si>
    <t>Original angles between balls</t>
  </si>
  <si>
    <t>Original altitude lengths</t>
  </si>
  <si>
    <t>Angone</t>
  </si>
  <si>
    <t>angle at ball 1</t>
  </si>
  <si>
    <t>Aone</t>
  </si>
  <si>
    <t>Ball 1 to side 2 3</t>
  </si>
  <si>
    <t>Angtwo</t>
  </si>
  <si>
    <t>angle at ball 2</t>
  </si>
  <si>
    <t>Atwo</t>
  </si>
  <si>
    <t>Ball 2 to side 1 3</t>
  </si>
  <si>
    <t>Angthree</t>
  </si>
  <si>
    <t>angle at ball 3</t>
  </si>
  <si>
    <t>Athree</t>
  </si>
  <si>
    <t>Ball 3 to side 2 1</t>
  </si>
  <si>
    <t>New angles between balls</t>
  </si>
  <si>
    <t>Original sides' angle with X axis</t>
  </si>
  <si>
    <t>AngoneN</t>
  </si>
  <si>
    <t>Aot</t>
  </si>
  <si>
    <t>Side opposite ball 3</t>
  </si>
  <si>
    <t>AngtwoN</t>
  </si>
  <si>
    <t>Att</t>
  </si>
  <si>
    <t>Side opposite ball 1</t>
  </si>
  <si>
    <t>AngthreeN</t>
  </si>
  <si>
    <t>Ato</t>
  </si>
  <si>
    <t>Side opposite ball 2</t>
  </si>
  <si>
    <t>New sides' angle with X axis</t>
  </si>
  <si>
    <t>AotN</t>
  </si>
  <si>
    <t>AttN</t>
  </si>
  <si>
    <t>AtoN</t>
  </si>
  <si>
    <t>Original altitudes' slope angles and Y intercepts</t>
  </si>
  <si>
    <t>AmtwoO</t>
  </si>
  <si>
    <t>AbtwoO</t>
  </si>
  <si>
    <t>AmthreeO</t>
  </si>
  <si>
    <t>AbthreeO</t>
  </si>
  <si>
    <t>Rotation about opposite side (radians)</t>
  </si>
  <si>
    <t>Ttt</t>
  </si>
  <si>
    <t>rotation about side 23 due to Z motion at ball 1</t>
  </si>
  <si>
    <t>Tto</t>
  </si>
  <si>
    <t>rotation about side 13 due to Z motion at ball 2</t>
  </si>
  <si>
    <t>Tot</t>
  </si>
  <si>
    <t>rotation about side 12 due to Z motion at ball 3</t>
  </si>
  <si>
    <t>Coupling error rotations</t>
  </si>
  <si>
    <t>EpsZ1</t>
  </si>
  <si>
    <t>Z rot from ball 1</t>
  </si>
  <si>
    <t>EpsZ2</t>
  </si>
  <si>
    <t>Z rot from ball 2</t>
  </si>
  <si>
    <t>EpsZ3</t>
  </si>
  <si>
    <t>Z rot from ball 3</t>
  </si>
  <si>
    <t>Coupling HTM</t>
  </si>
  <si>
    <t>Point of interest</t>
  </si>
  <si>
    <t>Xerr</t>
  </si>
  <si>
    <t>Yerr</t>
  </si>
  <si>
    <t>Zerr</t>
  </si>
  <si>
    <t>Error displacements at the point of interest</t>
  </si>
  <si>
    <t>CARBIDE</t>
  </si>
  <si>
    <t>System geometry (XY plane is assumed to contain the ball centers)</t>
  </si>
  <si>
    <t>RMS stiffness (N/micron)</t>
  </si>
  <si>
    <t>Max shear stress/(ult. tensile/2)</t>
  </si>
  <si>
    <t>Yield stress</t>
  </si>
  <si>
    <t xml:space="preserve">Fpreload (N) = </t>
  </si>
  <si>
    <t>Matlabgroove =</t>
  </si>
  <si>
    <t>Matlabball =</t>
  </si>
  <si>
    <t>Largest contact stress ratio</t>
  </si>
  <si>
    <t>Xerr (mm) =</t>
  </si>
  <si>
    <t>Yerr (mm) =</t>
  </si>
  <si>
    <t>Zerr (mm) =</t>
  </si>
  <si>
    <t>FLx (N) =</t>
  </si>
  <si>
    <t>FLy (N) =</t>
  </si>
  <si>
    <t>FLz (N) =</t>
  </si>
  <si>
    <t>XL (m) =</t>
  </si>
  <si>
    <t>ZL (m) =</t>
  </si>
  <si>
    <t>YL (m) =</t>
  </si>
  <si>
    <t>Coupling centroid location</t>
  </si>
  <si>
    <t>Applied force's Z,Y,Z values and coordinates</t>
  </si>
  <si>
    <t>RMS applied force (N)</t>
  </si>
  <si>
    <t>User values if matlabs = 5</t>
  </si>
  <si>
    <t>Allowable Hertz stress, or enter value:</t>
  </si>
  <si>
    <t>Equivalent diameter ball to contact the groove at the same points</t>
  </si>
  <si>
    <t>Enter 1 for plastic, 2 for steel, 3 for carbide, 4 for user defined, 5 where each ball and groove is defined individually</t>
  </si>
  <si>
    <t>user defined</t>
  </si>
  <si>
    <t>Kinematic_Coupling_3Groove_Design.xls</t>
  </si>
  <si>
    <t>Preload force over each ball</t>
  </si>
  <si>
    <t>"Ball" minor radius</t>
  </si>
  <si>
    <t>"Ball" major radius</t>
  </si>
  <si>
    <t>Groove material elastic modulus, or enter value (mm):</t>
  </si>
  <si>
    <t>Groove material Poisson ratio, or enter value (mm):</t>
  </si>
  <si>
    <t>Ball material elastic modulus, or enter value (Pa):</t>
  </si>
  <si>
    <t>Ball material Poisson ratio, or enter value (Pa):</t>
  </si>
  <si>
    <r>
      <t xml:space="preserve">Standard 120 degree equal size groove coupling? </t>
    </r>
    <r>
      <rPr>
        <sz val="10"/>
        <rFont val="Times New Roman"/>
        <family val="1"/>
      </rPr>
      <t>(contact forces are inclined at 45 to the XY plane.  For non standard designs, enter geometry after results section)</t>
    </r>
  </si>
  <si>
    <r>
      <t xml:space="preserve">Auto select material values (enter </t>
    </r>
    <r>
      <rPr>
        <b/>
        <i/>
        <sz val="10"/>
        <rFont val="Times New Roman"/>
        <family val="1"/>
      </rPr>
      <t>other_4</t>
    </r>
    <r>
      <rPr>
        <b/>
        <sz val="10"/>
        <rFont val="Times New Roman"/>
        <family val="1"/>
      </rPr>
      <t xml:space="preserve"> to the right)</t>
    </r>
  </si>
  <si>
    <t>"Ball" major radius of curvature, or enter value (mm):</t>
  </si>
  <si>
    <t>"Ball" minor radius of curvture, or enter value (mm):</t>
  </si>
  <si>
    <t>Rbminor (mm) =</t>
  </si>
  <si>
    <t>Rbmajor (mm) =</t>
  </si>
  <si>
    <r>
      <t xml:space="preserve">Metric units only!  </t>
    </r>
    <r>
      <rPr>
        <sz val="10"/>
        <rFont val="Times New Roman"/>
        <family val="1"/>
      </rPr>
      <t xml:space="preserve">Enters numbers in </t>
    </r>
    <r>
      <rPr>
        <b/>
        <sz val="10"/>
        <rFont val="Times New Roman"/>
        <family val="1"/>
      </rPr>
      <t>BOLD</t>
    </r>
    <r>
      <rPr>
        <sz val="10"/>
        <rFont val="Times New Roman"/>
        <family val="1"/>
      </rPr>
      <t xml:space="preserve">, Results in </t>
    </r>
    <r>
      <rPr>
        <b/>
        <sz val="10"/>
        <color indexed="10"/>
        <rFont val="Times New Roman"/>
        <family val="1"/>
      </rPr>
      <t>RED</t>
    </r>
  </si>
  <si>
    <t>Rgroove (mm) =</t>
  </si>
  <si>
    <t xml:space="preserve">Dbeq (mm) = </t>
  </si>
  <si>
    <t>Dcoupling (m)</t>
  </si>
  <si>
    <t>Dball (m)</t>
  </si>
  <si>
    <t>xc (mm)</t>
  </si>
  <si>
    <t>yc (mm)</t>
  </si>
  <si>
    <t>zc (mm)</t>
  </si>
  <si>
    <t>XL (mm) =</t>
  </si>
  <si>
    <t>YL (mm) =</t>
  </si>
  <si>
    <t>ZL (mm) =</t>
  </si>
  <si>
    <t>aluminum</t>
  </si>
  <si>
    <t>User defined material</t>
  </si>
  <si>
    <t>Largest contact ellipse major diameter (mm)</t>
  </si>
  <si>
    <t>Dcoupling (mm) =</t>
  </si>
  <si>
    <t>Smallest contact ellipse major diameter (mm)</t>
  </si>
  <si>
    <t>Rmajor</t>
  </si>
  <si>
    <t>Rminor</t>
  </si>
  <si>
    <t>Groove normal forces (N)</t>
  </si>
  <si>
    <t>Error motions are at X,Y,Z coordinates (m)</t>
  </si>
  <si>
    <t>Written by Alex Slocum.  Last modified 2012/08/05 by Alex Slocum (thanks Jim Reily for pointint out typos)</t>
  </si>
  <si>
    <t>DeltaY (mm)</t>
  </si>
  <si>
    <t>DeltaZ (mm)</t>
  </si>
  <si>
    <t>DeltaX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</si>
</sst>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"/>
    <numFmt numFmtId="165" formatCode="0.0000000"/>
    <numFmt numFmtId="166" formatCode="0.0000"/>
    <numFmt numFmtId="167" formatCode="0.000"/>
    <numFmt numFmtId="168" formatCode="0.000000000"/>
    <numFmt numFmtId="169" formatCode="0.00000"/>
    <numFmt numFmtId="170" formatCode="0.0"/>
    <numFmt numFmtId="171" formatCode="0.00000E+00"/>
    <numFmt numFmtId="172" formatCode="0.00000000000"/>
    <numFmt numFmtId="173" formatCode="0.00000000E+00"/>
    <numFmt numFmtId="174" formatCode="0.0000000000"/>
    <numFmt numFmtId="175" formatCode="0.00000000000000000000"/>
    <numFmt numFmtId="176" formatCode="0.000000000000000000"/>
    <numFmt numFmtId="177" formatCode="0.00E+00;\_x0000_"/>
  </numFmts>
  <fonts count="17">
    <font>
      <sz val="10"/>
      <name val="Geneva"/>
    </font>
    <font>
      <sz val="10"/>
      <name val="Geneva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color indexed="8"/>
      <name val="Times New Roman"/>
      <family val="1"/>
    </font>
    <font>
      <b/>
      <i/>
      <sz val="10"/>
      <color indexed="10"/>
      <name val="Times New Roman"/>
      <family val="1"/>
    </font>
    <font>
      <i/>
      <sz val="10"/>
      <color indexed="12"/>
      <name val="Times New Roman"/>
      <family val="1"/>
    </font>
    <font>
      <b/>
      <sz val="10"/>
      <color indexed="12"/>
      <name val="Times New Roman"/>
      <family val="1"/>
    </font>
    <font>
      <i/>
      <sz val="10"/>
      <color indexed="8"/>
      <name val="Times New Roman"/>
      <family val="1"/>
    </font>
    <font>
      <i/>
      <sz val="10"/>
      <color indexed="14"/>
      <name val="Times New Roman"/>
      <family val="1"/>
    </font>
    <font>
      <b/>
      <sz val="10"/>
      <color indexed="14"/>
      <name val="Times New Roman"/>
      <family val="1"/>
    </font>
    <font>
      <sz val="10"/>
      <color indexed="10"/>
      <name val="Times New Roman"/>
      <family val="1"/>
    </font>
    <font>
      <sz val="10"/>
      <color indexed="11"/>
      <name val="Times New Roman"/>
      <family val="1"/>
    </font>
    <font>
      <b/>
      <sz val="10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2" xfId="0" applyFont="1" applyBorder="1"/>
    <xf numFmtId="0" fontId="2" fillId="0" borderId="4" xfId="0" applyFont="1" applyBorder="1" applyAlignment="1">
      <alignment horizontal="right"/>
    </xf>
    <xf numFmtId="11" fontId="3" fillId="0" borderId="5" xfId="0" applyNumberFormat="1" applyFont="1" applyBorder="1"/>
    <xf numFmtId="0" fontId="3" fillId="0" borderId="2" xfId="0" applyFont="1" applyBorder="1"/>
    <xf numFmtId="0" fontId="3" fillId="0" borderId="1" xfId="0" applyFont="1" applyBorder="1"/>
    <xf numFmtId="169" fontId="2" fillId="0" borderId="1" xfId="0" applyNumberFormat="1" applyFont="1" applyBorder="1"/>
    <xf numFmtId="11" fontId="4" fillId="0" borderId="2" xfId="0" applyNumberFormat="1" applyFont="1" applyBorder="1"/>
    <xf numFmtId="2" fontId="2" fillId="0" borderId="1" xfId="0" applyNumberFormat="1" applyFont="1" applyBorder="1"/>
    <xf numFmtId="11" fontId="3" fillId="0" borderId="1" xfId="0" applyNumberFormat="1" applyFont="1" applyBorder="1"/>
    <xf numFmtId="3" fontId="2" fillId="0" borderId="3" xfId="0" applyNumberFormat="1" applyFont="1" applyBorder="1"/>
    <xf numFmtId="0" fontId="3" fillId="0" borderId="1" xfId="0" applyFont="1" applyBorder="1" applyAlignment="1">
      <alignment horizontal="right"/>
    </xf>
    <xf numFmtId="171" fontId="2" fillId="0" borderId="3" xfId="0" applyNumberFormat="1" applyFont="1" applyBorder="1"/>
    <xf numFmtId="1" fontId="3" fillId="0" borderId="1" xfId="0" applyNumberFormat="1" applyFont="1" applyBorder="1"/>
    <xf numFmtId="2" fontId="3" fillId="0" borderId="5" xfId="0" applyNumberFormat="1" applyFont="1" applyBorder="1"/>
    <xf numFmtId="0" fontId="4" fillId="0" borderId="1" xfId="0" applyFont="1" applyBorder="1"/>
    <xf numFmtId="0" fontId="3" fillId="0" borderId="5" xfId="0" applyFont="1" applyBorder="1"/>
    <xf numFmtId="0" fontId="7" fillId="0" borderId="1" xfId="0" applyFont="1" applyBorder="1"/>
    <xf numFmtId="0" fontId="7" fillId="0" borderId="3" xfId="0" applyFont="1" applyBorder="1"/>
    <xf numFmtId="0" fontId="7" fillId="0" borderId="0" xfId="0" applyFont="1"/>
    <xf numFmtId="0" fontId="5" fillId="0" borderId="3" xfId="0" applyFont="1" applyBorder="1"/>
    <xf numFmtId="0" fontId="5" fillId="0" borderId="0" xfId="0" applyFont="1"/>
    <xf numFmtId="0" fontId="5" fillId="0" borderId="1" xfId="0" applyFont="1" applyBorder="1"/>
    <xf numFmtId="11" fontId="2" fillId="0" borderId="1" xfId="0" applyNumberFormat="1" applyFont="1" applyBorder="1"/>
    <xf numFmtId="2" fontId="3" fillId="0" borderId="1" xfId="0" applyNumberFormat="1" applyFont="1" applyBorder="1"/>
    <xf numFmtId="167" fontId="4" fillId="0" borderId="1" xfId="0" applyNumberFormat="1" applyFont="1" applyBorder="1"/>
    <xf numFmtId="0" fontId="5" fillId="0" borderId="1" xfId="0" applyFont="1" applyBorder="1" applyAlignment="1">
      <alignment horizontal="centerContinuous"/>
    </xf>
    <xf numFmtId="11" fontId="2" fillId="0" borderId="1" xfId="0" applyNumberFormat="1" applyFont="1" applyBorder="1" applyAlignment="1">
      <alignment horizontal="centerContinuous"/>
    </xf>
    <xf numFmtId="11" fontId="8" fillId="0" borderId="1" xfId="0" applyNumberFormat="1" applyFont="1" applyBorder="1"/>
    <xf numFmtId="167" fontId="8" fillId="0" borderId="1" xfId="0" applyNumberFormat="1" applyFont="1" applyBorder="1"/>
    <xf numFmtId="11" fontId="9" fillId="0" borderId="1" xfId="0" applyNumberFormat="1" applyFont="1" applyBorder="1"/>
    <xf numFmtId="2" fontId="4" fillId="0" borderId="1" xfId="0" applyNumberFormat="1" applyFont="1" applyBorder="1"/>
    <xf numFmtId="11" fontId="10" fillId="0" borderId="1" xfId="0" applyNumberFormat="1" applyFont="1" applyBorder="1"/>
    <xf numFmtId="0" fontId="11" fillId="0" borderId="1" xfId="0" applyFont="1" applyBorder="1"/>
    <xf numFmtId="0" fontId="10" fillId="0" borderId="1" xfId="0" applyFont="1" applyBorder="1"/>
    <xf numFmtId="169" fontId="2" fillId="0" borderId="0" xfId="0" applyNumberFormat="1" applyFont="1"/>
    <xf numFmtId="0" fontId="5" fillId="0" borderId="6" xfId="0" applyFont="1" applyBorder="1"/>
    <xf numFmtId="0" fontId="2" fillId="0" borderId="6" xfId="0" applyFont="1" applyBorder="1"/>
    <xf numFmtId="11" fontId="10" fillId="0" borderId="0" xfId="0" applyNumberFormat="1" applyFont="1"/>
    <xf numFmtId="0" fontId="3" fillId="0" borderId="0" xfId="0" applyFont="1"/>
    <xf numFmtId="0" fontId="6" fillId="0" borderId="0" xfId="0" applyFont="1"/>
    <xf numFmtId="164" fontId="4" fillId="0" borderId="0" xfId="0" applyNumberFormat="1" applyFont="1"/>
    <xf numFmtId="164" fontId="2" fillId="0" borderId="0" xfId="0" applyNumberFormat="1" applyFont="1"/>
    <xf numFmtId="0" fontId="12" fillId="0" borderId="0" xfId="0" applyFont="1"/>
    <xf numFmtId="11" fontId="4" fillId="0" borderId="0" xfId="0" applyNumberFormat="1" applyFont="1"/>
    <xf numFmtId="0" fontId="2" fillId="2" borderId="1" xfId="0" applyFont="1" applyFill="1" applyBorder="1"/>
    <xf numFmtId="169" fontId="4" fillId="0" borderId="0" xfId="0" applyNumberFormat="1" applyFont="1"/>
    <xf numFmtId="0" fontId="4" fillId="0" borderId="0" xfId="0" applyFont="1"/>
    <xf numFmtId="2" fontId="4" fillId="0" borderId="0" xfId="0" applyNumberFormat="1" applyFont="1"/>
    <xf numFmtId="0" fontId="13" fillId="0" borderId="0" xfId="0" applyFont="1"/>
    <xf numFmtId="0" fontId="14" fillId="0" borderId="0" xfId="0" applyFont="1"/>
    <xf numFmtId="11" fontId="15" fillId="0" borderId="0" xfId="0" applyNumberFormat="1" applyFont="1"/>
    <xf numFmtId="11" fontId="2" fillId="0" borderId="0" xfId="0" applyNumberFormat="1" applyFont="1"/>
    <xf numFmtId="2" fontId="15" fillId="0" borderId="0" xfId="0" applyNumberFormat="1" applyFont="1"/>
    <xf numFmtId="2" fontId="2" fillId="0" borderId="0" xfId="0" applyNumberFormat="1" applyFont="1"/>
    <xf numFmtId="165" fontId="15" fillId="0" borderId="0" xfId="0" applyNumberFormat="1" applyFont="1"/>
    <xf numFmtId="165" fontId="2" fillId="0" borderId="0" xfId="0" applyNumberFormat="1" applyFont="1"/>
    <xf numFmtId="172" fontId="15" fillId="0" borderId="0" xfId="0" applyNumberFormat="1" applyFont="1"/>
    <xf numFmtId="173" fontId="15" fillId="0" borderId="0" xfId="0" applyNumberFormat="1" applyFont="1"/>
    <xf numFmtId="176" fontId="15" fillId="0" borderId="0" xfId="0" applyNumberFormat="1" applyFont="1"/>
    <xf numFmtId="174" fontId="15" fillId="0" borderId="0" xfId="0" applyNumberFormat="1" applyFont="1"/>
    <xf numFmtId="0" fontId="15" fillId="0" borderId="0" xfId="0" applyFont="1"/>
    <xf numFmtId="11" fontId="7" fillId="0" borderId="0" xfId="0" applyNumberFormat="1" applyFont="1"/>
    <xf numFmtId="168" fontId="15" fillId="0" borderId="0" xfId="0" applyNumberFormat="1" applyFont="1"/>
    <xf numFmtId="168" fontId="2" fillId="0" borderId="0" xfId="0" applyNumberFormat="1" applyFont="1"/>
    <xf numFmtId="175" fontId="15" fillId="0" borderId="0" xfId="0" applyNumberFormat="1" applyFont="1"/>
    <xf numFmtId="166" fontId="15" fillId="0" borderId="0" xfId="0" applyNumberFormat="1" applyFont="1"/>
    <xf numFmtId="170" fontId="3" fillId="0" borderId="1" xfId="0" applyNumberFormat="1" applyFont="1" applyBorder="1"/>
    <xf numFmtId="166" fontId="4" fillId="0" borderId="0" xfId="0" applyNumberFormat="1" applyFont="1"/>
    <xf numFmtId="0" fontId="5" fillId="0" borderId="7" xfId="0" applyFont="1" applyBorder="1" applyAlignment="1">
      <alignment wrapText="1"/>
    </xf>
    <xf numFmtId="0" fontId="6" fillId="0" borderId="7" xfId="0" applyFont="1" applyBorder="1"/>
    <xf numFmtId="0" fontId="5" fillId="0" borderId="4" xfId="0" applyFont="1" applyBorder="1" applyAlignment="1">
      <alignment wrapText="1"/>
    </xf>
    <xf numFmtId="0" fontId="6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2" fontId="3" fillId="0" borderId="9" xfId="0" applyNumberFormat="1" applyFont="1" applyBorder="1"/>
    <xf numFmtId="0" fontId="5" fillId="0" borderId="7" xfId="0" applyFont="1" applyBorder="1"/>
    <xf numFmtId="170" fontId="8" fillId="0" borderId="1" xfId="0" applyNumberFormat="1" applyFont="1" applyBorder="1"/>
    <xf numFmtId="0" fontId="4" fillId="0" borderId="1" xfId="0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15" fontId="2" fillId="0" borderId="2" xfId="0" applyNumberFormat="1" applyFont="1" applyBorder="1" applyAlignment="1">
      <alignment horizontal="left"/>
    </xf>
    <xf numFmtId="15" fontId="2" fillId="0" borderId="10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5" fontId="2" fillId="0" borderId="12" xfId="0" applyNumberFormat="1" applyFont="1" applyBorder="1"/>
    <xf numFmtId="15" fontId="2" fillId="0" borderId="13" xfId="0" applyNumberFormat="1" applyFont="1" applyBorder="1"/>
    <xf numFmtId="0" fontId="16" fillId="0" borderId="1" xfId="0" applyFont="1" applyBorder="1"/>
    <xf numFmtId="11" fontId="16" fillId="0" borderId="1" xfId="0" applyNumberFormat="1" applyFont="1" applyBorder="1"/>
    <xf numFmtId="177" fontId="16" fillId="0" borderId="1" xfId="0" applyNumberFormat="1" applyFont="1" applyBorder="1"/>
    <xf numFmtId="11" fontId="4" fillId="0" borderId="1" xfId="0" applyNumberFormat="1" applyFont="1" applyBorder="1" applyAlignment="1">
      <alignment horizontal="center"/>
    </xf>
    <xf numFmtId="3" fontId="4" fillId="0" borderId="1" xfId="1" applyNumberFormat="1" applyFont="1" applyFill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5" fillId="0" borderId="17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5" fontId="3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11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E7C2-491B-43D3-9FBD-0B2D4F93900F}">
  <sheetPr>
    <pageSetUpPr fitToPage="1"/>
  </sheetPr>
  <dimension ref="A1:J218"/>
  <sheetViews>
    <sheetView tabSelected="1" workbookViewId="0">
      <selection activeCell="A21" sqref="A21:B21"/>
    </sheetView>
  </sheetViews>
  <sheetFormatPr defaultColWidth="11.42578125" defaultRowHeight="12.75"/>
  <cols>
    <col min="1" max="1" width="21.28515625" style="1" customWidth="1"/>
    <col min="2" max="2" width="13.28515625" style="1" customWidth="1"/>
    <col min="3" max="3" width="25.140625" style="1" customWidth="1"/>
    <col min="4" max="4" width="11.85546875" style="1" customWidth="1"/>
    <col min="5" max="5" width="14.28515625" style="1" customWidth="1"/>
    <col min="6" max="6" width="18.42578125" style="1" customWidth="1"/>
    <col min="7" max="8" width="12.28515625" style="1" customWidth="1"/>
    <col min="9" max="9" width="12.140625" style="1" customWidth="1"/>
    <col min="10" max="12" width="10.7109375" style="1" customWidth="1"/>
    <col min="13" max="16384" width="11.42578125" style="1"/>
  </cols>
  <sheetData>
    <row r="1" spans="1:9">
      <c r="A1" s="104" t="s">
        <v>349</v>
      </c>
      <c r="B1" s="105"/>
      <c r="C1" s="105"/>
      <c r="D1" s="105"/>
      <c r="E1" s="105"/>
      <c r="F1" s="105"/>
      <c r="G1" s="106"/>
      <c r="H1" s="2"/>
      <c r="I1" s="2"/>
    </row>
    <row r="2" spans="1:9">
      <c r="A2" s="115" t="s">
        <v>0</v>
      </c>
      <c r="B2" s="116"/>
      <c r="C2" s="116"/>
      <c r="D2" s="116"/>
      <c r="E2" s="116"/>
      <c r="F2" s="116"/>
      <c r="G2" s="117"/>
      <c r="H2" s="2"/>
      <c r="I2" s="2"/>
    </row>
    <row r="3" spans="1:9" ht="13.5" thickBot="1">
      <c r="A3" s="85" t="s">
        <v>383</v>
      </c>
      <c r="B3" s="86"/>
      <c r="C3" s="88"/>
      <c r="D3" s="88"/>
      <c r="E3" s="88"/>
      <c r="F3" s="88"/>
      <c r="G3" s="89"/>
      <c r="H3" s="2"/>
      <c r="I3" s="2"/>
    </row>
    <row r="4" spans="1:9">
      <c r="A4" s="122" t="s">
        <v>363</v>
      </c>
      <c r="B4" s="122"/>
      <c r="C4" s="122"/>
      <c r="D4" s="2"/>
      <c r="E4" s="3"/>
      <c r="F4" s="120" t="s">
        <v>2</v>
      </c>
      <c r="G4" s="121"/>
      <c r="H4" s="4"/>
      <c r="I4" s="4"/>
    </row>
    <row r="5" spans="1:9" ht="15.75" customHeight="1">
      <c r="A5" s="124" t="s">
        <v>357</v>
      </c>
      <c r="B5" s="125"/>
      <c r="C5" s="125"/>
      <c r="D5" s="126"/>
      <c r="E5" s="123" t="b">
        <v>1</v>
      </c>
      <c r="F5" s="75" t="s">
        <v>375</v>
      </c>
      <c r="G5" s="76" t="s">
        <v>374</v>
      </c>
      <c r="H5" s="4"/>
      <c r="I5" s="4"/>
    </row>
    <row r="6" spans="1:9">
      <c r="A6" s="127"/>
      <c r="B6" s="128"/>
      <c r="C6" s="128"/>
      <c r="D6" s="129"/>
      <c r="E6" s="123"/>
      <c r="F6" s="102" t="s">
        <v>327</v>
      </c>
      <c r="G6" s="103"/>
      <c r="H6" s="4"/>
      <c r="I6" s="4"/>
    </row>
    <row r="7" spans="1:9">
      <c r="A7" s="104" t="s">
        <v>324</v>
      </c>
      <c r="B7" s="105"/>
      <c r="C7" s="105"/>
      <c r="D7" s="106"/>
      <c r="E7" s="5"/>
      <c r="F7" s="6" t="s">
        <v>7</v>
      </c>
      <c r="G7" s="7">
        <f>5000*6900</f>
        <v>34500000</v>
      </c>
      <c r="H7" s="4"/>
      <c r="I7" s="4"/>
    </row>
    <row r="8" spans="1:9">
      <c r="A8" s="2" t="s">
        <v>365</v>
      </c>
      <c r="B8" s="43">
        <v>8</v>
      </c>
      <c r="C8" s="2" t="s">
        <v>346</v>
      </c>
      <c r="D8" s="2"/>
      <c r="E8" s="8"/>
      <c r="F8" s="6" t="s">
        <v>8</v>
      </c>
      <c r="G8" s="7">
        <v>1724000000</v>
      </c>
    </row>
    <row r="9" spans="1:9">
      <c r="A9" s="2" t="s">
        <v>361</v>
      </c>
      <c r="B9" s="9">
        <v>4</v>
      </c>
      <c r="C9" s="2" t="s">
        <v>351</v>
      </c>
      <c r="D9" s="10"/>
      <c r="E9" s="11"/>
      <c r="F9" s="6" t="s">
        <v>323</v>
      </c>
      <c r="G9" s="7">
        <v>2758000000</v>
      </c>
      <c r="H9" s="4"/>
      <c r="I9" s="4"/>
    </row>
    <row r="10" spans="1:9">
      <c r="A10" s="2" t="s">
        <v>362</v>
      </c>
      <c r="B10" s="90">
        <f>Rbminor</f>
        <v>4</v>
      </c>
      <c r="C10" s="2" t="s">
        <v>352</v>
      </c>
      <c r="D10" s="12"/>
      <c r="E10" s="3"/>
      <c r="F10" s="6" t="s">
        <v>348</v>
      </c>
      <c r="G10" s="7">
        <f>40000*6900</f>
        <v>276000000</v>
      </c>
      <c r="H10" s="4"/>
      <c r="I10" s="4"/>
    </row>
    <row r="11" spans="1:9">
      <c r="A11" s="2" t="s">
        <v>364</v>
      </c>
      <c r="B11" s="13">
        <v>1000000</v>
      </c>
      <c r="C11" s="2" t="s">
        <v>3</v>
      </c>
      <c r="D11" s="2"/>
      <c r="E11" s="3"/>
      <c r="F11" s="102" t="s">
        <v>10</v>
      </c>
      <c r="G11" s="103"/>
      <c r="H11" s="4"/>
      <c r="I11" s="14"/>
    </row>
    <row r="12" spans="1:9">
      <c r="A12" s="2" t="s">
        <v>4</v>
      </c>
      <c r="B12" s="15" t="b">
        <v>1</v>
      </c>
      <c r="C12" s="2" t="s">
        <v>5</v>
      </c>
      <c r="D12" s="2"/>
      <c r="E12" s="3"/>
      <c r="F12" s="6" t="s">
        <v>7</v>
      </c>
      <c r="G12" s="7">
        <f>300000*6900</f>
        <v>2070000000</v>
      </c>
      <c r="H12" s="4"/>
      <c r="I12" s="16"/>
    </row>
    <row r="13" spans="1:9">
      <c r="A13" s="2" t="s">
        <v>377</v>
      </c>
      <c r="B13" s="43">
        <v>50</v>
      </c>
      <c r="C13" s="2" t="s">
        <v>6</v>
      </c>
      <c r="D13" s="2"/>
      <c r="E13" s="3"/>
      <c r="F13" s="6" t="s">
        <v>8</v>
      </c>
      <c r="G13" s="7">
        <v>204100000000</v>
      </c>
      <c r="H13" s="4"/>
      <c r="I13" s="16"/>
    </row>
    <row r="14" spans="1:9">
      <c r="A14" s="2" t="s">
        <v>328</v>
      </c>
      <c r="B14" s="17">
        <v>-100</v>
      </c>
      <c r="C14" s="2" t="s">
        <v>350</v>
      </c>
      <c r="D14" s="2"/>
      <c r="E14" s="3"/>
      <c r="F14" s="6" t="s">
        <v>323</v>
      </c>
      <c r="G14" s="7">
        <v>310300000000</v>
      </c>
      <c r="H14" s="4"/>
      <c r="I14" s="16"/>
    </row>
    <row r="15" spans="1:9">
      <c r="A15" s="2" t="s">
        <v>332</v>
      </c>
      <c r="B15" s="71">
        <v>0</v>
      </c>
      <c r="C15" s="2" t="s">
        <v>9</v>
      </c>
      <c r="D15" s="2"/>
      <c r="E15" s="3"/>
      <c r="F15" s="6" t="s">
        <v>348</v>
      </c>
      <c r="G15" s="7">
        <v>68000000000</v>
      </c>
      <c r="H15" s="4"/>
      <c r="I15" s="16"/>
    </row>
    <row r="16" spans="1:9">
      <c r="A16" s="2" t="s">
        <v>333</v>
      </c>
      <c r="B16" s="71">
        <v>0</v>
      </c>
      <c r="C16" s="2" t="s">
        <v>11</v>
      </c>
      <c r="D16" s="2"/>
      <c r="E16" s="3"/>
      <c r="F16" s="102" t="s">
        <v>13</v>
      </c>
      <c r="G16" s="103"/>
      <c r="H16" s="4"/>
      <c r="I16" s="16"/>
    </row>
    <row r="17" spans="1:10">
      <c r="A17" s="2" t="s">
        <v>334</v>
      </c>
      <c r="B17" s="71">
        <v>0</v>
      </c>
      <c r="C17" s="2" t="s">
        <v>12</v>
      </c>
      <c r="D17" s="2"/>
      <c r="E17" s="3"/>
      <c r="F17" s="6" t="s">
        <v>7</v>
      </c>
      <c r="G17" s="18">
        <v>0.2</v>
      </c>
      <c r="H17" s="4"/>
      <c r="I17" s="16"/>
    </row>
    <row r="18" spans="1:10" ht="13.5">
      <c r="A18" s="9" t="s">
        <v>358</v>
      </c>
      <c r="B18" s="19"/>
      <c r="C18" s="2"/>
      <c r="D18" s="2"/>
      <c r="E18" s="3"/>
      <c r="F18" s="6" t="s">
        <v>8</v>
      </c>
      <c r="G18" s="20">
        <v>0.28999999999999998</v>
      </c>
      <c r="H18" s="4"/>
      <c r="I18" s="16"/>
    </row>
    <row r="19" spans="1:10" s="23" customFormat="1" ht="15.75" customHeight="1">
      <c r="A19" s="21" t="s">
        <v>330</v>
      </c>
      <c r="B19" s="9">
        <v>3</v>
      </c>
      <c r="C19" s="108" t="s">
        <v>347</v>
      </c>
      <c r="D19" s="109"/>
      <c r="E19" s="109"/>
      <c r="F19" s="6" t="s">
        <v>323</v>
      </c>
      <c r="G19" s="18">
        <v>0.3</v>
      </c>
      <c r="H19" s="22"/>
      <c r="I19" s="22"/>
    </row>
    <row r="20" spans="1:10" s="25" customFormat="1">
      <c r="A20" s="21" t="s">
        <v>329</v>
      </c>
      <c r="B20" s="9">
        <v>2</v>
      </c>
      <c r="C20" s="110"/>
      <c r="D20" s="111"/>
      <c r="E20" s="112"/>
      <c r="F20" s="77" t="s">
        <v>348</v>
      </c>
      <c r="G20" s="78">
        <v>0.28999999999999998</v>
      </c>
      <c r="H20" s="24"/>
      <c r="I20" s="24"/>
    </row>
    <row r="21" spans="1:10" s="25" customFormat="1" ht="12.75" customHeight="1">
      <c r="A21" s="118" t="s">
        <v>14</v>
      </c>
      <c r="B21" s="118"/>
      <c r="C21" s="93">
        <f>B84</f>
        <v>1724000000</v>
      </c>
      <c r="D21" s="94">
        <f>C21/6900</f>
        <v>249855.07246376813</v>
      </c>
      <c r="E21" s="26"/>
      <c r="F21" s="26"/>
      <c r="G21" s="26"/>
      <c r="H21" s="26"/>
      <c r="I21" s="24"/>
    </row>
    <row r="22" spans="1:10" s="25" customFormat="1" ht="12.75" customHeight="1">
      <c r="A22" s="118" t="s">
        <v>376</v>
      </c>
      <c r="B22" s="118"/>
      <c r="C22" s="95">
        <f>1000*2*MAX(H36,H37,H40,H41,H44,H45)</f>
        <v>0.23335358161500488</v>
      </c>
      <c r="D22" s="93"/>
      <c r="E22" s="79"/>
      <c r="F22" s="73"/>
      <c r="G22" s="74"/>
      <c r="H22" s="26"/>
      <c r="I22" s="26"/>
    </row>
    <row r="23" spans="1:10" s="25" customFormat="1">
      <c r="A23" s="118" t="s">
        <v>378</v>
      </c>
      <c r="B23" s="118"/>
      <c r="C23" s="95">
        <f>1000*2*MAX(I36,I37,I40,I41,I44,I45)</f>
        <v>0.23297930509913398</v>
      </c>
      <c r="D23" s="87"/>
      <c r="E23" s="26"/>
      <c r="F23" s="26"/>
      <c r="G23" s="26"/>
      <c r="H23" s="26"/>
      <c r="I23" s="26"/>
    </row>
    <row r="24" spans="1:10" s="25" customFormat="1">
      <c r="A24" s="118" t="s">
        <v>331</v>
      </c>
      <c r="B24" s="118"/>
      <c r="C24" s="96">
        <f>MAX(E36,E37,E40,E41,E44,E45)</f>
        <v>0.86450707566398821</v>
      </c>
      <c r="D24" s="87"/>
      <c r="E24" s="26"/>
      <c r="F24" s="26"/>
      <c r="G24" s="26"/>
      <c r="H24" s="26"/>
      <c r="I24" s="26"/>
    </row>
    <row r="25" spans="1:10" s="25" customFormat="1">
      <c r="A25" s="119" t="s">
        <v>343</v>
      </c>
      <c r="B25" s="119"/>
      <c r="C25" s="81">
        <f>SQRT(FLx^2+FLy^2+FLz^2)</f>
        <v>0</v>
      </c>
      <c r="D25" s="87"/>
      <c r="E25" s="26"/>
      <c r="F25" s="26"/>
      <c r="G25" s="26"/>
      <c r="H25" s="26"/>
      <c r="I25" s="26"/>
    </row>
    <row r="26" spans="1:10" s="25" customFormat="1">
      <c r="A26" s="118" t="s">
        <v>325</v>
      </c>
      <c r="B26" s="118"/>
      <c r="C26" s="97" t="e">
        <f>C25/E49/1000000</f>
        <v>#DIV/0!</v>
      </c>
      <c r="D26" s="87"/>
      <c r="E26" s="26"/>
      <c r="F26" s="26"/>
      <c r="G26" s="26"/>
      <c r="H26" s="26"/>
      <c r="I26" s="26"/>
    </row>
    <row r="27" spans="1:10" s="25" customFormat="1">
      <c r="A27" s="104" t="s">
        <v>342</v>
      </c>
      <c r="B27" s="105"/>
      <c r="C27" s="106"/>
      <c r="D27" s="26"/>
      <c r="E27" s="101" t="s">
        <v>341</v>
      </c>
      <c r="F27" s="101"/>
      <c r="G27" s="2"/>
      <c r="H27" s="2"/>
      <c r="I27" s="2"/>
      <c r="J27" s="1"/>
    </row>
    <row r="28" spans="1:10">
      <c r="A28" s="2" t="s">
        <v>335</v>
      </c>
      <c r="B28" s="28">
        <v>0</v>
      </c>
      <c r="C28" s="2" t="s">
        <v>371</v>
      </c>
      <c r="D28" s="9">
        <v>0</v>
      </c>
      <c r="E28" s="2" t="s">
        <v>368</v>
      </c>
      <c r="F28" s="29">
        <f>xci*1000</f>
        <v>0</v>
      </c>
      <c r="G28" s="2"/>
      <c r="H28" s="2" t="s">
        <v>338</v>
      </c>
      <c r="I28" s="29">
        <f>D28/1000</f>
        <v>0</v>
      </c>
    </row>
    <row r="29" spans="1:10">
      <c r="A29" s="2" t="s">
        <v>336</v>
      </c>
      <c r="B29" s="28">
        <v>0</v>
      </c>
      <c r="C29" s="2" t="s">
        <v>372</v>
      </c>
      <c r="D29" s="9">
        <v>0</v>
      </c>
      <c r="E29" s="2" t="s">
        <v>369</v>
      </c>
      <c r="F29" s="29">
        <f>yci*1000</f>
        <v>0</v>
      </c>
      <c r="G29" s="2"/>
      <c r="H29" s="2" t="s">
        <v>340</v>
      </c>
      <c r="I29" s="29">
        <f>D29/1000</f>
        <v>0</v>
      </c>
    </row>
    <row r="30" spans="1:10" ht="13.5" thickBot="1">
      <c r="A30" s="2" t="s">
        <v>337</v>
      </c>
      <c r="B30" s="28">
        <v>0</v>
      </c>
      <c r="C30" s="2" t="s">
        <v>373</v>
      </c>
      <c r="D30" s="9">
        <v>0</v>
      </c>
      <c r="E30" s="2" t="s">
        <v>370</v>
      </c>
      <c r="F30" s="29">
        <f>zci*1000</f>
        <v>0</v>
      </c>
      <c r="G30" s="2"/>
      <c r="H30" s="2" t="s">
        <v>339</v>
      </c>
      <c r="I30" s="29">
        <f>D30/1000</f>
        <v>0</v>
      </c>
    </row>
    <row r="31" spans="1:10" s="41" customFormat="1">
      <c r="A31" s="9" t="s">
        <v>15</v>
      </c>
      <c r="B31" s="2"/>
      <c r="C31" s="2"/>
      <c r="D31" s="2"/>
      <c r="E31" s="2"/>
      <c r="F31" s="2"/>
      <c r="G31" s="2"/>
      <c r="H31" s="2"/>
      <c r="I31" s="2"/>
    </row>
    <row r="32" spans="1:10">
      <c r="A32" s="2" t="s">
        <v>16</v>
      </c>
      <c r="B32" s="2"/>
      <c r="C32" s="2"/>
      <c r="D32" s="2"/>
      <c r="E32" s="27"/>
      <c r="F32" s="2"/>
      <c r="G32" s="2"/>
      <c r="H32" s="2"/>
      <c r="I32" s="2"/>
    </row>
    <row r="33" spans="1:10">
      <c r="A33" s="13" t="s">
        <v>386</v>
      </c>
      <c r="B33" s="91">
        <f>B215*1000</f>
        <v>0</v>
      </c>
      <c r="C33" s="13"/>
      <c r="D33" s="13" t="s">
        <v>384</v>
      </c>
      <c r="E33" s="91">
        <f>B216*1000</f>
        <v>0</v>
      </c>
      <c r="F33" s="13"/>
      <c r="G33" s="13" t="s">
        <v>385</v>
      </c>
      <c r="H33" s="91">
        <f>B217*1000</f>
        <v>0</v>
      </c>
      <c r="I33" s="91">
        <f>MAX(H33,E33,B33)</f>
        <v>0</v>
      </c>
    </row>
    <row r="34" spans="1:10">
      <c r="A34" s="27"/>
      <c r="B34" s="27"/>
      <c r="C34" s="27"/>
      <c r="D34" s="27"/>
      <c r="E34" s="113" t="s">
        <v>326</v>
      </c>
      <c r="F34" s="27"/>
      <c r="G34" s="27"/>
      <c r="H34" s="30" t="s">
        <v>20</v>
      </c>
      <c r="I34" s="31"/>
    </row>
    <row r="35" spans="1:10" s="25" customFormat="1">
      <c r="A35" s="98" t="s">
        <v>381</v>
      </c>
      <c r="B35" s="99"/>
      <c r="C35" s="98" t="s">
        <v>22</v>
      </c>
      <c r="D35" s="99"/>
      <c r="E35" s="114"/>
      <c r="F35" s="98" t="s">
        <v>23</v>
      </c>
      <c r="G35" s="99"/>
      <c r="H35" s="26" t="s">
        <v>379</v>
      </c>
      <c r="I35" s="26" t="s">
        <v>380</v>
      </c>
    </row>
    <row r="36" spans="1:10" ht="13.5">
      <c r="A36" s="2" t="s">
        <v>24</v>
      </c>
      <c r="B36" s="80">
        <f>fbnone</f>
        <v>70.710678118654741</v>
      </c>
      <c r="C36" s="2" t="s">
        <v>25</v>
      </c>
      <c r="D36" s="32">
        <f>3*fbnone/(2*PI()*H36*I36)</f>
        <v>2484016997.4078593</v>
      </c>
      <c r="E36" s="33">
        <f>0.3*D36/(0.5*Sone)</f>
        <v>0.8645070756639881</v>
      </c>
      <c r="F36" s="2" t="s">
        <v>26</v>
      </c>
      <c r="G36" s="32">
        <f>lambda_1*(2*fbnone^2/(3*Reone*Eeone^2))^0.33333-lambda_1*(2*fone^2/(3*Reone*Eeone^2))^0.33333</f>
        <v>0</v>
      </c>
      <c r="H36" s="32">
        <f>alpha_1*(1.5*fbnone*Reone/Eeone)^0.333333</f>
        <v>1.1667679080750244E-4</v>
      </c>
      <c r="I36" s="32">
        <f>beta_1*(1.5*fbnone*Reone/Eeone)^0.333333</f>
        <v>1.1648965254956698E-4</v>
      </c>
      <c r="J36" s="42"/>
    </row>
    <row r="37" spans="1:10" ht="13.5">
      <c r="A37" s="2" t="s">
        <v>27</v>
      </c>
      <c r="B37" s="80">
        <f>fbntwo</f>
        <v>70.710678118654741</v>
      </c>
      <c r="C37" s="2" t="s">
        <v>28</v>
      </c>
      <c r="D37" s="32">
        <f>3*fbntwo/(2*PI()*H37*I37)</f>
        <v>2484016997.4078593</v>
      </c>
      <c r="E37" s="33">
        <f>0.3*D37/(0.5*Sone)</f>
        <v>0.8645070756639881</v>
      </c>
      <c r="F37" s="2" t="s">
        <v>29</v>
      </c>
      <c r="G37" s="32">
        <f>lambda_1*(2*fbntwo^2/(3*Reone*Eeone^2))^0.33333-lambda_1*(2*ftwo^2/(3*Reone*Eeone^2))^0.33333</f>
        <v>0</v>
      </c>
      <c r="H37" s="32">
        <f>alpha_1*(1.5*fbntwo*Reone/Eeone)^0.333333</f>
        <v>1.1667679080750244E-4</v>
      </c>
      <c r="I37" s="32">
        <f>beta_1*(1.5*fbntwo*Reone/Eeone)^0.333333</f>
        <v>1.1648965254956698E-4</v>
      </c>
    </row>
    <row r="38" spans="1:10" s="25" customFormat="1" ht="13.5">
      <c r="A38" s="26" t="s">
        <v>30</v>
      </c>
      <c r="B38" s="80"/>
      <c r="C38" s="26"/>
      <c r="D38" s="32"/>
      <c r="E38" s="33"/>
      <c r="F38" s="26"/>
      <c r="G38" s="34"/>
      <c r="H38" s="30" t="s">
        <v>20</v>
      </c>
      <c r="I38" s="31"/>
    </row>
    <row r="39" spans="1:10" s="25" customFormat="1" ht="13.5">
      <c r="A39" s="26" t="s">
        <v>21</v>
      </c>
      <c r="B39" s="80"/>
      <c r="C39" s="26" t="s">
        <v>31</v>
      </c>
      <c r="D39" s="32"/>
      <c r="E39" s="33"/>
      <c r="F39" s="26" t="s">
        <v>32</v>
      </c>
      <c r="G39" s="34"/>
      <c r="H39" s="26" t="s">
        <v>379</v>
      </c>
      <c r="I39" s="26" t="s">
        <v>380</v>
      </c>
    </row>
    <row r="40" spans="1:10" ht="13.5">
      <c r="A40" s="2" t="s">
        <v>33</v>
      </c>
      <c r="B40" s="80">
        <f>fbnthree</f>
        <v>70.710678118654755</v>
      </c>
      <c r="C40" s="2" t="s">
        <v>34</v>
      </c>
      <c r="D40" s="32">
        <f>3*fbnthree/(2*PI()*H40*I40)</f>
        <v>2484016997.4078598</v>
      </c>
      <c r="E40" s="33">
        <f>0.3*D40/(0.5*Stwo)</f>
        <v>0.86450707566398821</v>
      </c>
      <c r="F40" s="2" t="s">
        <v>35</v>
      </c>
      <c r="G40" s="32">
        <f>lambda_2*(2*fbnthree^2/(3*Retwo*Eetwo^2))^0.33333-lambda_2*(2*fthree^2/(3*Retwo*Eetwo^2))^0.33333</f>
        <v>0</v>
      </c>
      <c r="H40" s="32">
        <f>alpha_2*(1.5*fbnthree*Retwo/Eetwo)^0.333333</f>
        <v>1.1667679080750244E-4</v>
      </c>
      <c r="I40" s="32">
        <f>beta_2*(1.5*fbnthree*Retwo/Eetwo)^0.333333</f>
        <v>1.1648965254956698E-4</v>
      </c>
    </row>
    <row r="41" spans="1:10" ht="13.5">
      <c r="A41" s="2" t="s">
        <v>36</v>
      </c>
      <c r="B41" s="80">
        <f>fbnfour</f>
        <v>70.710678118654755</v>
      </c>
      <c r="C41" s="2" t="s">
        <v>37</v>
      </c>
      <c r="D41" s="32">
        <f>3*fbnfour/(2*PI()*H41*I41)</f>
        <v>2484016997.4078598</v>
      </c>
      <c r="E41" s="33">
        <f>0.3*D41/(0.5*Stwo)</f>
        <v>0.86450707566398821</v>
      </c>
      <c r="F41" s="2" t="s">
        <v>38</v>
      </c>
      <c r="G41" s="32">
        <f>lambda_2*(2*fbnfour^2/(3*Retwo*Eetwo^2))^0.33333-lambda_2*(2*ffour^2/(3*Retwo*Eetwo^2))^0.33333</f>
        <v>0</v>
      </c>
      <c r="H41" s="32">
        <f>alpha_2*(1.5*fbnfour*Retwo/Eetwo)^0.333333</f>
        <v>1.1667679080750244E-4</v>
      </c>
      <c r="I41" s="32">
        <f>beta_2*(1.5*fbnfour*Retwo/Eetwo)^0.333333</f>
        <v>1.1648965254956698E-4</v>
      </c>
    </row>
    <row r="42" spans="1:10" ht="13.5">
      <c r="A42" s="2" t="s">
        <v>39</v>
      </c>
      <c r="B42" s="80"/>
      <c r="C42" s="2"/>
      <c r="D42" s="32"/>
      <c r="E42" s="33"/>
      <c r="F42" s="2"/>
      <c r="G42" s="34"/>
      <c r="H42" s="30" t="s">
        <v>20</v>
      </c>
      <c r="I42" s="31"/>
    </row>
    <row r="43" spans="1:10" s="25" customFormat="1" ht="13.5">
      <c r="A43" s="26" t="s">
        <v>21</v>
      </c>
      <c r="B43" s="80"/>
      <c r="C43" s="26" t="s">
        <v>31</v>
      </c>
      <c r="D43" s="32"/>
      <c r="E43" s="33"/>
      <c r="F43" s="26" t="s">
        <v>32</v>
      </c>
      <c r="G43" s="34"/>
      <c r="H43" s="26" t="s">
        <v>379</v>
      </c>
      <c r="I43" s="26" t="s">
        <v>380</v>
      </c>
    </row>
    <row r="44" spans="1:10" ht="13.5">
      <c r="A44" s="2" t="s">
        <v>40</v>
      </c>
      <c r="B44" s="80">
        <f>fbnfive</f>
        <v>70.710678118654755</v>
      </c>
      <c r="C44" s="2" t="s">
        <v>41</v>
      </c>
      <c r="D44" s="32">
        <f>3*fbnfive/(2*PI()*H44*I44)</f>
        <v>2484016997.4078598</v>
      </c>
      <c r="E44" s="33">
        <f>0.3*D44/(0.5*Sthree)</f>
        <v>0.86450707566398821</v>
      </c>
      <c r="F44" s="2" t="s">
        <v>42</v>
      </c>
      <c r="G44" s="32">
        <f>lambda_3*(2*fbnfive^2/(3*Rethree*Eethree^2))^0.33333-lambda_3*(2*ffive^2/(3*Rethree*Eethree^2))^0.33333</f>
        <v>0</v>
      </c>
      <c r="H44" s="32">
        <f>alpha_3*(1.5*fbnfive*Rethree/Eethree)^0.333333</f>
        <v>1.1667679080750244E-4</v>
      </c>
      <c r="I44" s="32">
        <f>beta_3*(1.5*fbnfive*Rethree/Eethree)^0.333333</f>
        <v>1.1648965254956698E-4</v>
      </c>
    </row>
    <row r="45" spans="1:10" ht="13.5">
      <c r="A45" s="2" t="s">
        <v>43</v>
      </c>
      <c r="B45" s="80">
        <f>fbnsix</f>
        <v>70.710678118654755</v>
      </c>
      <c r="C45" s="2" t="s">
        <v>44</v>
      </c>
      <c r="D45" s="32">
        <f>3*fbnsix/(2*PI()*H45*I45)</f>
        <v>2484016997.4078598</v>
      </c>
      <c r="E45" s="33">
        <f>0.3*D45/(0.5*Sthree)</f>
        <v>0.86450707566398821</v>
      </c>
      <c r="F45" s="2" t="s">
        <v>45</v>
      </c>
      <c r="G45" s="32">
        <f>lambda_3*(2*fbnsix^2/(3*Rethree*Eethree^2))^0.33333-lambda_3*(2*fsix^2/(3*Rethree*Eethree^2))^0.33333</f>
        <v>0</v>
      </c>
      <c r="H45" s="32">
        <f>alpha_3*(1.5*fbnsix*Rethree/Eethree)^0.333333</f>
        <v>1.1667679080750244E-4</v>
      </c>
      <c r="I45" s="32">
        <f>beta_3*(1.5*fbnsix*Rethree/Eethree)^0.333333</f>
        <v>1.1648965254956698E-4</v>
      </c>
    </row>
    <row r="46" spans="1:10">
      <c r="E46" s="35"/>
      <c r="F46" s="2"/>
      <c r="G46" s="36"/>
      <c r="H46" s="27"/>
      <c r="I46" s="2"/>
    </row>
    <row r="47" spans="1:10">
      <c r="A47" s="9" t="s">
        <v>46</v>
      </c>
      <c r="B47" s="36"/>
      <c r="C47" s="2"/>
      <c r="D47" s="83" t="s">
        <v>319</v>
      </c>
      <c r="E47" s="83" t="s">
        <v>320</v>
      </c>
      <c r="F47" s="84" t="s">
        <v>321</v>
      </c>
      <c r="G47" s="2"/>
      <c r="H47" s="2"/>
      <c r="I47" s="2"/>
    </row>
    <row r="48" spans="1:10" ht="13.5">
      <c r="A48" s="98" t="s">
        <v>382</v>
      </c>
      <c r="B48" s="99"/>
      <c r="C48" s="2"/>
      <c r="D48" s="82">
        <f>Xerr/1000</f>
        <v>0</v>
      </c>
      <c r="E48" s="82">
        <f>Yerr/1000</f>
        <v>0</v>
      </c>
      <c r="F48" s="82">
        <f>Zerr/1000</f>
        <v>0</v>
      </c>
      <c r="G48" s="2"/>
      <c r="H48" s="2"/>
      <c r="I48" s="2"/>
    </row>
    <row r="49" spans="1:10">
      <c r="A49" s="2" t="s">
        <v>47</v>
      </c>
      <c r="B49" s="36">
        <f>DeltaX</f>
        <v>0</v>
      </c>
      <c r="C49" s="2"/>
      <c r="D49" s="2" t="s">
        <v>48</v>
      </c>
      <c r="E49" s="92">
        <f>SQRT(B49^2+B50^2+B51^2)</f>
        <v>0</v>
      </c>
      <c r="F49" s="2"/>
      <c r="G49" s="2"/>
      <c r="H49" s="2"/>
      <c r="I49" s="2"/>
    </row>
    <row r="50" spans="1:10">
      <c r="A50" s="2" t="s">
        <v>49</v>
      </c>
      <c r="B50" s="36">
        <f>DeltaY</f>
        <v>0</v>
      </c>
      <c r="C50" s="2"/>
      <c r="D50" s="37" t="s">
        <v>50</v>
      </c>
      <c r="E50" s="38"/>
      <c r="F50" s="36"/>
      <c r="G50" s="2"/>
      <c r="H50" s="2"/>
      <c r="I50" s="2"/>
    </row>
    <row r="51" spans="1:10">
      <c r="A51" s="2" t="s">
        <v>51</v>
      </c>
      <c r="B51" s="36">
        <f>DeltaZ</f>
        <v>0</v>
      </c>
      <c r="C51" s="2"/>
      <c r="D51" s="36">
        <f t="array" ref="D51:G54">A210:D213</f>
        <v>1</v>
      </c>
      <c r="E51" s="36">
        <v>0</v>
      </c>
      <c r="F51" s="36">
        <v>0</v>
      </c>
      <c r="G51" s="36">
        <v>0</v>
      </c>
      <c r="H51" s="2"/>
      <c r="I51" s="2"/>
      <c r="J51" s="39"/>
    </row>
    <row r="52" spans="1:10">
      <c r="A52" s="2" t="s">
        <v>52</v>
      </c>
      <c r="B52" s="36">
        <f>EpsX</f>
        <v>0</v>
      </c>
      <c r="C52" s="2"/>
      <c r="D52" s="36">
        <v>0</v>
      </c>
      <c r="E52" s="36">
        <v>1</v>
      </c>
      <c r="F52" s="36">
        <v>0</v>
      </c>
      <c r="G52" s="36">
        <v>0</v>
      </c>
      <c r="H52" s="2"/>
      <c r="I52" s="2"/>
    </row>
    <row r="53" spans="1:10">
      <c r="A53" s="2" t="s">
        <v>53</v>
      </c>
      <c r="B53" s="36">
        <f>EpsY</f>
        <v>0</v>
      </c>
      <c r="C53" s="2"/>
      <c r="D53" s="36">
        <v>0</v>
      </c>
      <c r="E53" s="36">
        <v>0</v>
      </c>
      <c r="F53" s="36">
        <v>1</v>
      </c>
      <c r="G53" s="36">
        <v>0</v>
      </c>
      <c r="H53" s="2"/>
      <c r="I53" s="2"/>
    </row>
    <row r="54" spans="1:10" ht="13.5" thickBot="1">
      <c r="A54" s="2" t="s">
        <v>54</v>
      </c>
      <c r="B54" s="36">
        <f>EpsZ</f>
        <v>0</v>
      </c>
      <c r="C54" s="2"/>
      <c r="D54" s="36">
        <v>0</v>
      </c>
      <c r="E54" s="36">
        <v>0</v>
      </c>
      <c r="F54" s="36">
        <v>0</v>
      </c>
      <c r="G54" s="36">
        <v>1</v>
      </c>
      <c r="H54" s="2"/>
      <c r="I54" s="2"/>
    </row>
    <row r="55" spans="1:10" s="40" customFormat="1">
      <c r="A55" s="43" t="s">
        <v>55</v>
      </c>
      <c r="B55" s="25"/>
      <c r="C55" s="1"/>
      <c r="D55" s="25"/>
      <c r="E55" s="25"/>
      <c r="F55" s="25"/>
      <c r="G55" s="25"/>
      <c r="H55" s="25"/>
      <c r="I55" s="25"/>
    </row>
    <row r="56" spans="1:10" s="25" customFormat="1" ht="13.5">
      <c r="A56" s="44" t="s">
        <v>56</v>
      </c>
    </row>
    <row r="57" spans="1:10" s="25" customFormat="1" ht="13.5">
      <c r="A57" s="44" t="s">
        <v>57</v>
      </c>
    </row>
    <row r="58" spans="1:10" s="25" customFormat="1">
      <c r="A58" s="25" t="s">
        <v>58</v>
      </c>
    </row>
    <row r="59" spans="1:10" s="25" customFormat="1">
      <c r="A59" s="1" t="s">
        <v>367</v>
      </c>
      <c r="B59" s="72">
        <f>Dbeq/1000</f>
        <v>8.0000000000000002E-3</v>
      </c>
    </row>
    <row r="60" spans="1:10" s="25" customFormat="1">
      <c r="A60" s="1" t="s">
        <v>366</v>
      </c>
      <c r="B60" s="29">
        <f>Dcoup/1000</f>
        <v>0.05</v>
      </c>
    </row>
    <row r="61" spans="1:10">
      <c r="B61" s="1" t="s">
        <v>59</v>
      </c>
      <c r="D61" s="1" t="s">
        <v>60</v>
      </c>
    </row>
    <row r="62" spans="1:10">
      <c r="A62" s="1" t="s">
        <v>61</v>
      </c>
      <c r="B62" s="45">
        <f>IF($E$5=TRUE,Dball*SQRT(2)/4,user number)</f>
        <v>2.8284271247461905E-3</v>
      </c>
      <c r="C62" s="46" t="s">
        <v>62</v>
      </c>
      <c r="D62" s="45">
        <f>IF($E$5=TRUE,-Dball*SQRT(2)/4,user number)</f>
        <v>-2.8284271247461905E-3</v>
      </c>
    </row>
    <row r="63" spans="1:10">
      <c r="A63" s="1" t="s">
        <v>63</v>
      </c>
      <c r="B63" s="45">
        <f>IF($E$5=TRUE,Dcoupling/2,user number)</f>
        <v>2.5000000000000001E-2</v>
      </c>
      <c r="C63" s="46" t="s">
        <v>64</v>
      </c>
      <c r="D63" s="45">
        <f>IF($E$5=TRUE,Dcoupling/2,user number)</f>
        <v>2.5000000000000001E-2</v>
      </c>
    </row>
    <row r="64" spans="1:10">
      <c r="A64" s="1" t="s">
        <v>65</v>
      </c>
      <c r="B64" s="45">
        <f>IF($E$5=TRUE,-Dball*SQRT(2)/4,user defined)</f>
        <v>-2.8284271247461905E-3</v>
      </c>
      <c r="C64" s="46" t="s">
        <v>66</v>
      </c>
      <c r="D64" s="45">
        <f>IF($E$5=TRUE,-Dball*SQRT(2)/4,user defined)</f>
        <v>-2.8284271247461905E-3</v>
      </c>
    </row>
    <row r="65" spans="1:6">
      <c r="A65" s="1" t="s">
        <v>67</v>
      </c>
      <c r="B65" s="45">
        <f>IF($E$5=TRUE,-SQRT(2)/2,user defined)</f>
        <v>-0.70710678118654757</v>
      </c>
      <c r="C65" s="46" t="s">
        <v>68</v>
      </c>
      <c r="D65" s="45">
        <f>IF($E$5=TRUE,SQRT(2)/2,user number)</f>
        <v>0.70710678118654757</v>
      </c>
    </row>
    <row r="66" spans="1:6">
      <c r="A66" s="1" t="s">
        <v>69</v>
      </c>
      <c r="B66" s="45">
        <f>IF($E$5=TRUE,0,user number)</f>
        <v>0</v>
      </c>
      <c r="C66" s="46" t="s">
        <v>70</v>
      </c>
      <c r="D66" s="45">
        <f>IF($E$5=TRUE,0,user number)</f>
        <v>0</v>
      </c>
    </row>
    <row r="67" spans="1:6">
      <c r="A67" s="1" t="s">
        <v>71</v>
      </c>
      <c r="B67" s="45">
        <f>IF($E$5=TRUE,SQRT(2)/2,user number)</f>
        <v>0.70710678118654757</v>
      </c>
      <c r="C67" s="46" t="s">
        <v>72</v>
      </c>
      <c r="D67" s="45">
        <f>IF($E$5=TRUE,SQRT(2)/2,user number)</f>
        <v>0.70710678118654757</v>
      </c>
      <c r="F67" s="107" t="s">
        <v>344</v>
      </c>
    </row>
    <row r="68" spans="1:6" s="25" customFormat="1">
      <c r="A68" s="25" t="s">
        <v>73</v>
      </c>
      <c r="E68" s="47"/>
      <c r="F68" s="107"/>
    </row>
    <row r="69" spans="1:6">
      <c r="A69" s="1" t="s">
        <v>74</v>
      </c>
      <c r="B69" s="48">
        <f>IF(matlabgroove=1,Eplastic,IF(matlabgroove=2,ESteel,IF(matlabgroove=3,ESiN,IF(matlabgroove=4,Eother_4,F69))))</f>
        <v>204100000000</v>
      </c>
      <c r="C69" s="100" t="s">
        <v>353</v>
      </c>
      <c r="D69" s="100"/>
      <c r="E69" s="100"/>
      <c r="F69" s="49"/>
    </row>
    <row r="70" spans="1:6">
      <c r="A70" s="1" t="s">
        <v>75</v>
      </c>
      <c r="B70" s="50">
        <f>IF(matlabgroove=1,vplastic,IF(matlabgroove=2,vSteel,IF(matlabgroove=3,vSiN,IF(matlabgroove=4,vother_4,F70))))</f>
        <v>0.28999999999999998</v>
      </c>
      <c r="C70" s="100" t="s">
        <v>354</v>
      </c>
      <c r="D70" s="100"/>
      <c r="E70" s="100"/>
      <c r="F70" s="49"/>
    </row>
    <row r="71" spans="1:6">
      <c r="A71" s="1" t="s">
        <v>76</v>
      </c>
      <c r="B71" s="51">
        <f>IF($E$5=TRUE,Rgroove,user number)/1000</f>
        <v>1000</v>
      </c>
      <c r="C71" s="1" t="s">
        <v>77</v>
      </c>
      <c r="F71" s="2"/>
    </row>
    <row r="72" spans="1:6">
      <c r="A72" s="1" t="s">
        <v>78</v>
      </c>
      <c r="B72" s="48">
        <f>IF(matlabball=1,Eplastic,IF(matlabball=2,ESteel,IF(matlabball=3,ESiN,IF(matlabball=4,Eother_4,F72))))</f>
        <v>310300000000</v>
      </c>
      <c r="C72" s="100" t="s">
        <v>355</v>
      </c>
      <c r="D72" s="100"/>
      <c r="E72" s="100"/>
      <c r="F72" s="49"/>
    </row>
    <row r="73" spans="1:6">
      <c r="A73" s="1" t="s">
        <v>79</v>
      </c>
      <c r="B73" s="52">
        <f>IF(matlabball=1,vplastic,IF(matlabball=2,vSteel,IF(matlabball=3,vSiN,IF(matlabball=4,vother_4,F73))))</f>
        <v>0.3</v>
      </c>
      <c r="C73" s="100" t="s">
        <v>356</v>
      </c>
      <c r="D73" s="100"/>
      <c r="E73" s="100"/>
      <c r="F73" s="49"/>
    </row>
    <row r="74" spans="1:6">
      <c r="A74" s="1" t="s">
        <v>80</v>
      </c>
      <c r="B74" s="48">
        <f>1/((1-vgone^2)/Egone+(1-vbone^2)/Ebone)</f>
        <v>134768129627.86302</v>
      </c>
      <c r="C74" s="1" t="s">
        <v>81</v>
      </c>
      <c r="E74" s="53"/>
    </row>
    <row r="75" spans="1:6">
      <c r="A75" s="1" t="s">
        <v>82</v>
      </c>
      <c r="B75" s="48">
        <f>IF($E$5=TRUE,Dball,user number)</f>
        <v>8.0000000000000002E-3</v>
      </c>
      <c r="C75" s="1" t="s">
        <v>1</v>
      </c>
      <c r="E75" s="53"/>
    </row>
    <row r="76" spans="1:6">
      <c r="A76" s="1" t="s">
        <v>83</v>
      </c>
      <c r="B76" s="51">
        <f>IF($E$5=TRUE,Rbmajor,user number)/1000</f>
        <v>4.0000000000000001E-3</v>
      </c>
      <c r="C76" s="1" t="s">
        <v>359</v>
      </c>
      <c r="F76" s="49"/>
    </row>
    <row r="77" spans="1:6">
      <c r="A77" s="1" t="s">
        <v>84</v>
      </c>
      <c r="B77" s="51">
        <f>IF($E$5=TRUE,Rbminor,user number)/1000</f>
        <v>4.0000000000000001E-3</v>
      </c>
      <c r="C77" s="1" t="s">
        <v>360</v>
      </c>
      <c r="F77" s="49"/>
    </row>
    <row r="78" spans="1:6">
      <c r="A78" s="1" t="s">
        <v>85</v>
      </c>
      <c r="B78" s="51">
        <f>1/(1/Rgone+1/Rpone+1/Raone)</f>
        <v>1.9999960000080001E-3</v>
      </c>
      <c r="C78" s="1" t="s">
        <v>86</v>
      </c>
    </row>
    <row r="79" spans="1:6">
      <c r="A79" s="1" t="s">
        <v>87</v>
      </c>
      <c r="B79" s="51">
        <f>Reone*SQRT((1/Rgone)^2+(1/Rpone-1/Raone)^2+2*(-1/Rgone)*(1/Rpone-1/Raone)*COS(IF(Costheta=TRUE, 0,2*PI()/2)))</f>
        <v>1.999996000008E-6</v>
      </c>
      <c r="C79" s="1" t="s">
        <v>88</v>
      </c>
    </row>
    <row r="80" spans="1:6">
      <c r="A80" s="1" t="s">
        <v>89</v>
      </c>
      <c r="B80" s="51">
        <f>ACOS(B79)</f>
        <v>1.5707943267988966</v>
      </c>
    </row>
    <row r="81" spans="1:6">
      <c r="A81" s="1" t="s">
        <v>90</v>
      </c>
      <c r="B81" s="51">
        <f>1.939*2.71831^(-5.26*theta_1)+1.78*2.71831^(-1.09*theta_1)+0.723/theta_1+0.221</f>
        <v>1.0030158869708272</v>
      </c>
    </row>
    <row r="82" spans="1:6">
      <c r="A82" s="1" t="s">
        <v>91</v>
      </c>
      <c r="B82" s="51">
        <f>35.228*2.71831^(-0.98*theta_1)-32.424*2.71831^(-1.0475*theta_1)+1.486*theta_1-2.634</f>
        <v>1.0014071467537691</v>
      </c>
    </row>
    <row r="83" spans="1:6">
      <c r="A83" s="1" t="s">
        <v>92</v>
      </c>
      <c r="B83" s="51">
        <f>-0.214*2.71831^(-4.95*theta_1)-0.179*theta_1^2+0.555*theta_1+0.319</f>
        <v>0.74903732217685814</v>
      </c>
    </row>
    <row r="84" spans="1:6">
      <c r="A84" s="1" t="s">
        <v>93</v>
      </c>
      <c r="B84" s="48">
        <f>MIN( IF(matlabball=1,plastic,IF(matlabball=2,Steel,IF(matlabball=3,SiN,IF(matlabball=4,Other_4,F84)))), IF(matlabgroove=1,plastic,IF(matlabgroove=2,Steel,IF(matlabgroove=3,SiN,IF(matlabgroove=4,Other_4,F84)))))</f>
        <v>1724000000</v>
      </c>
      <c r="C84" s="1" t="s">
        <v>345</v>
      </c>
      <c r="F84" s="49"/>
    </row>
    <row r="85" spans="1:6" s="25" customFormat="1">
      <c r="A85" s="25" t="s">
        <v>95</v>
      </c>
    </row>
    <row r="86" spans="1:6">
      <c r="B86" s="1" t="s">
        <v>96</v>
      </c>
      <c r="D86" s="1" t="s">
        <v>97</v>
      </c>
    </row>
    <row r="87" spans="1:6">
      <c r="A87" s="1" t="s">
        <v>98</v>
      </c>
      <c r="B87" s="45">
        <f>IF($E$5=TRUE,-Dcoupling*SQRT(3)/4-Dball*SQRT(2)/8,user number)</f>
        <v>-2.3064848656984063E-2</v>
      </c>
      <c r="C87" s="46" t="s">
        <v>99</v>
      </c>
      <c r="D87" s="45">
        <f>IF($E$5=TRUE,-Dcoupling*SQRT(3)/4+Dball*SQRT(2)/8,user number)</f>
        <v>-2.0236421532237869E-2</v>
      </c>
    </row>
    <row r="88" spans="1:6">
      <c r="A88" s="1" t="s">
        <v>100</v>
      </c>
      <c r="B88" s="45">
        <f>IF($E$5=TRUE,-Dcoupling/4+Dball*SQRT(6)/8,user number)</f>
        <v>-1.0050510257216823E-2</v>
      </c>
      <c r="C88" s="46" t="s">
        <v>101</v>
      </c>
      <c r="D88" s="45">
        <f>IF($E$5=TRUE,-Dcoupling/4-Dball*SQRT(6)/8,user number)</f>
        <v>-1.4949489742783179E-2</v>
      </c>
    </row>
    <row r="89" spans="1:6">
      <c r="A89" s="1" t="s">
        <v>102</v>
      </c>
      <c r="B89" s="45">
        <f>IF($E$5=TRUE,-Dball*SQRT(2)/4,user defined)</f>
        <v>-2.8284271247461905E-3</v>
      </c>
      <c r="C89" s="46" t="s">
        <v>103</v>
      </c>
      <c r="D89" s="45">
        <f>IF($E$5=TRUE,-Dball*SQRT(2)/4,user defined)</f>
        <v>-2.8284271247461905E-3</v>
      </c>
    </row>
    <row r="90" spans="1:6">
      <c r="A90" s="1" t="s">
        <v>104</v>
      </c>
      <c r="B90" s="45">
        <f>IF($E$5=TRUE,SQRT(2)/4,user number)</f>
        <v>0.35355339059327379</v>
      </c>
      <c r="C90" s="46" t="s">
        <v>105</v>
      </c>
      <c r="D90" s="45">
        <f>IF($E$5=TRUE,-SQRT(2)/4,user number)</f>
        <v>-0.35355339059327379</v>
      </c>
    </row>
    <row r="91" spans="1:6">
      <c r="A91" s="1" t="s">
        <v>106</v>
      </c>
      <c r="B91" s="45">
        <f>IF($E$5=TRUE,-SQRT(6)/4,user number)</f>
        <v>-0.61237243569579447</v>
      </c>
      <c r="C91" s="46" t="s">
        <v>107</v>
      </c>
      <c r="D91" s="45">
        <f>IF($E$5=TRUE,SQRT(6)/4,user number)</f>
        <v>0.61237243569579447</v>
      </c>
    </row>
    <row r="92" spans="1:6">
      <c r="A92" s="1" t="s">
        <v>108</v>
      </c>
      <c r="B92" s="45">
        <f>IF($E$5=TRUE,SQRT(2)/2,user number)</f>
        <v>0.70710678118654757</v>
      </c>
      <c r="C92" s="46" t="s">
        <v>109</v>
      </c>
      <c r="D92" s="45">
        <f>IF($E$5=TRUE,SQRT(2)/2,user number)</f>
        <v>0.70710678118654757</v>
      </c>
      <c r="F92" s="107" t="s">
        <v>344</v>
      </c>
    </row>
    <row r="93" spans="1:6" s="25" customFormat="1">
      <c r="A93" s="25" t="s">
        <v>110</v>
      </c>
      <c r="F93" s="107"/>
    </row>
    <row r="94" spans="1:6">
      <c r="A94" s="1" t="s">
        <v>111</v>
      </c>
      <c r="B94" s="48">
        <f>IF(matlabgroove=1,Eplastic,IF(matlabgroove=2,ESteel,IF(matlabgroove=3,ESiN,IF(matlabgroove=4,Eother_4,F94))))</f>
        <v>204100000000</v>
      </c>
      <c r="C94" s="100" t="s">
        <v>353</v>
      </c>
      <c r="D94" s="100"/>
      <c r="E94" s="100"/>
      <c r="F94" s="49"/>
    </row>
    <row r="95" spans="1:6">
      <c r="A95" s="1" t="s">
        <v>112</v>
      </c>
      <c r="B95" s="50">
        <f>IF(matlabgroove=1,vplastic,IF(matlabgroove=2,vSteel,IF(matlabgroove=3,vSiN,IF(matlabgroove=4,vother_4,F95))))</f>
        <v>0.28999999999999998</v>
      </c>
      <c r="C95" s="100" t="s">
        <v>354</v>
      </c>
      <c r="D95" s="100"/>
      <c r="E95" s="100"/>
      <c r="F95" s="49"/>
    </row>
    <row r="96" spans="1:6">
      <c r="A96" s="1" t="s">
        <v>113</v>
      </c>
      <c r="B96" s="51">
        <f>IF($E$5=TRUE,Rgroove,user number)/1000</f>
        <v>1000</v>
      </c>
      <c r="C96" s="1" t="s">
        <v>77</v>
      </c>
      <c r="F96" s="49"/>
    </row>
    <row r="97" spans="1:6">
      <c r="A97" s="1" t="s">
        <v>114</v>
      </c>
      <c r="B97" s="48">
        <f>IF(matlabball=1,Eplastic,IF(matlabball=2,ESteel,IF(matlabball=3,ESiN,IF(matlabball=4,Eother_4,F97))))</f>
        <v>310300000000</v>
      </c>
      <c r="C97" s="100" t="s">
        <v>355</v>
      </c>
      <c r="D97" s="100"/>
      <c r="E97" s="100"/>
      <c r="F97" s="49"/>
    </row>
    <row r="98" spans="1:6">
      <c r="A98" s="1" t="s">
        <v>115</v>
      </c>
      <c r="B98" s="52">
        <f>IF(matlabball=1,vplastic,IF(matlabball=2,vSteel,IF(matlabball=3,vSiN,IF(matlabball=4,vother_4,F98))))</f>
        <v>0.3</v>
      </c>
      <c r="C98" s="100" t="s">
        <v>356</v>
      </c>
      <c r="D98" s="100"/>
      <c r="E98" s="100"/>
      <c r="F98" s="49"/>
    </row>
    <row r="99" spans="1:6">
      <c r="A99" s="1" t="s">
        <v>116</v>
      </c>
      <c r="B99" s="48">
        <f>1/((1-vgone^2)/Egone+(1-vbone^2)/Ebone)</f>
        <v>134768129627.86302</v>
      </c>
      <c r="C99" s="1" t="s">
        <v>81</v>
      </c>
      <c r="E99" s="53"/>
    </row>
    <row r="100" spans="1:6">
      <c r="A100" s="1" t="s">
        <v>117</v>
      </c>
      <c r="B100" s="48">
        <f>IF($E$5=TRUE,Dball,user number)</f>
        <v>8.0000000000000002E-3</v>
      </c>
      <c r="C100" s="1" t="s">
        <v>1</v>
      </c>
      <c r="E100" s="53"/>
    </row>
    <row r="101" spans="1:6">
      <c r="A101" s="1" t="s">
        <v>118</v>
      </c>
      <c r="B101" s="51">
        <f>IF($E$5=TRUE,Rbmajor,user number)/1000</f>
        <v>4.0000000000000001E-3</v>
      </c>
      <c r="C101" s="1" t="s">
        <v>359</v>
      </c>
      <c r="F101" s="49"/>
    </row>
    <row r="102" spans="1:6">
      <c r="A102" s="1" t="s">
        <v>119</v>
      </c>
      <c r="B102" s="51">
        <f>IF($E$5=TRUE,Rbminor,user number)/1000</f>
        <v>4.0000000000000001E-3</v>
      </c>
      <c r="C102" s="1" t="s">
        <v>360</v>
      </c>
      <c r="F102" s="49"/>
    </row>
    <row r="103" spans="1:6">
      <c r="A103" s="1" t="s">
        <v>120</v>
      </c>
      <c r="B103" s="51">
        <f>1/(1/Rgtwo+1/Rptwo+1/Ratwo)</f>
        <v>1.9999960000080001E-3</v>
      </c>
      <c r="C103" s="1" t="s">
        <v>86</v>
      </c>
    </row>
    <row r="104" spans="1:6">
      <c r="A104" s="1" t="s">
        <v>121</v>
      </c>
      <c r="B104" s="51">
        <f>Retwo*SQRT((1/Rgtwo)^2+(1/Rptwo-1/Ratwo)^2+2*(-1/Rgtwo)*(1/Rptwo-1/Ratwo)*COS(IF(Costheta=TRUE, 0,2*PI()/2)))</f>
        <v>1.999996000008E-6</v>
      </c>
      <c r="C104" s="1" t="s">
        <v>88</v>
      </c>
    </row>
    <row r="105" spans="1:6">
      <c r="A105" s="1" t="s">
        <v>122</v>
      </c>
      <c r="B105" s="51">
        <f>ACOS(B104)</f>
        <v>1.5707943267988966</v>
      </c>
    </row>
    <row r="106" spans="1:6">
      <c r="A106" s="1" t="s">
        <v>123</v>
      </c>
      <c r="B106" s="51">
        <f>1.939*2.71831^(-5.26*theta_2)+1.78*2.71831^(-1.09*theta_2)+0.723/theta_2+0.221</f>
        <v>1.0030158869708272</v>
      </c>
    </row>
    <row r="107" spans="1:6">
      <c r="A107" s="1" t="s">
        <v>124</v>
      </c>
      <c r="B107" s="51">
        <f>35.228*2.71831^(-0.98*theta_2)-32.424*2.71831^(-1.0475*theta_2)+1.486*theta_2-2.634</f>
        <v>1.0014071467537691</v>
      </c>
    </row>
    <row r="108" spans="1:6">
      <c r="A108" s="1" t="s">
        <v>125</v>
      </c>
      <c r="B108" s="51">
        <f>-0.214*2.71831^(-4.95*theta_2)-0.179*theta_2^2+0.555*theta_2+0.319</f>
        <v>0.74903732217685814</v>
      </c>
    </row>
    <row r="109" spans="1:6">
      <c r="A109" s="1" t="s">
        <v>126</v>
      </c>
      <c r="B109" s="48">
        <f>MIN( IF(matlabball=1,plastic,IF(matlabball=2,Steel,IF(matlabball=3,SiN,IF(matlabball=4,Other_4,F109)))), IF(matlabgroove=1,plastic,IF(matlabgroove=2,Steel,IF(matlabgroove=3,SiN,IF(matlabgroove=4,Other_4,F109)))))</f>
        <v>1724000000</v>
      </c>
      <c r="C109" s="1" t="s">
        <v>94</v>
      </c>
      <c r="F109" s="49"/>
    </row>
    <row r="110" spans="1:6">
      <c r="A110" s="1" t="s">
        <v>127</v>
      </c>
      <c r="B110" s="51"/>
      <c r="D110" s="51"/>
    </row>
    <row r="111" spans="1:6" s="23" customFormat="1">
      <c r="B111" s="23" t="s">
        <v>128</v>
      </c>
      <c r="D111" s="23" t="s">
        <v>129</v>
      </c>
    </row>
    <row r="112" spans="1:6">
      <c r="A112" s="1" t="s">
        <v>130</v>
      </c>
      <c r="B112" s="45">
        <f>IF($E$5=TRUE,Dcoupling*SQRT(3)/4-Dball*SQRT(2)/8,user number)</f>
        <v>2.0236421532237869E-2</v>
      </c>
      <c r="C112" s="46" t="s">
        <v>131</v>
      </c>
      <c r="D112" s="45">
        <f>IF($E$5=TRUE,Dcoupling*SQRT(3)/4+Dball*SQRT(2)/8,user number)</f>
        <v>2.3064848656984063E-2</v>
      </c>
    </row>
    <row r="113" spans="1:6">
      <c r="A113" s="1" t="s">
        <v>132</v>
      </c>
      <c r="B113" s="45">
        <f>IF($E$5=TRUE,-Dcoupling/4-Dball*SQRT(6)/8,user number)</f>
        <v>-1.4949489742783179E-2</v>
      </c>
      <c r="C113" s="46" t="s">
        <v>133</v>
      </c>
      <c r="D113" s="45">
        <f>IF($E$5=TRUE,-Dcoupling/4+Dball*SQRT(6)/8,user number)</f>
        <v>-1.0050510257216823E-2</v>
      </c>
    </row>
    <row r="114" spans="1:6">
      <c r="A114" s="1" t="s">
        <v>134</v>
      </c>
      <c r="B114" s="45">
        <f>IF($E$5=TRUE,-Dball*SQRT(2)/4,user defined)</f>
        <v>-2.8284271247461905E-3</v>
      </c>
      <c r="C114" s="46" t="s">
        <v>135</v>
      </c>
      <c r="D114" s="45">
        <f>IF($E$5=TRUE,-Dball*SQRT(2)/4,user defined)</f>
        <v>-2.8284271247461905E-3</v>
      </c>
    </row>
    <row r="115" spans="1:6">
      <c r="A115" s="1" t="s">
        <v>136</v>
      </c>
      <c r="B115" s="45">
        <f>IF($E$5=TRUE,SQRT(2)/4,user number)</f>
        <v>0.35355339059327379</v>
      </c>
      <c r="C115" s="46" t="s">
        <v>137</v>
      </c>
      <c r="D115" s="45">
        <f>IF($E$5=TRUE,-SQRT(2)/4,user number)</f>
        <v>-0.35355339059327379</v>
      </c>
    </row>
    <row r="116" spans="1:6">
      <c r="A116" s="1" t="s">
        <v>138</v>
      </c>
      <c r="B116" s="45">
        <f>IF($E$5=TRUE,SQRT(6)/4,user number)</f>
        <v>0.61237243569579447</v>
      </c>
      <c r="C116" s="46" t="s">
        <v>139</v>
      </c>
      <c r="D116" s="45">
        <f>IF($E$5=TRUE,-SQRT(6)/4,user number)</f>
        <v>-0.61237243569579447</v>
      </c>
    </row>
    <row r="117" spans="1:6">
      <c r="A117" s="1" t="s">
        <v>140</v>
      </c>
      <c r="B117" s="45">
        <f>IF($E$5=TRUE,SQRT(2)/2,user number)</f>
        <v>0.70710678118654757</v>
      </c>
      <c r="C117" s="46" t="s">
        <v>141</v>
      </c>
      <c r="D117" s="45">
        <f>IF($E$5=TRUE,SQRT(2)/2,user number)</f>
        <v>0.70710678118654757</v>
      </c>
      <c r="F117" s="107" t="s">
        <v>344</v>
      </c>
    </row>
    <row r="118" spans="1:6" s="25" customFormat="1" ht="15.75" customHeight="1">
      <c r="A118" s="25" t="s">
        <v>142</v>
      </c>
      <c r="F118" s="107"/>
    </row>
    <row r="119" spans="1:6">
      <c r="A119" s="1" t="s">
        <v>143</v>
      </c>
      <c r="B119" s="48">
        <f>IF(matlabgroove=1,Eplastic,IF(matlabgroove=2,ESteel,IF(matlabgroove=3,ESiN,IF(matlabgroove=4,Eother_4,F119))))</f>
        <v>204100000000</v>
      </c>
      <c r="C119" s="100" t="s">
        <v>353</v>
      </c>
      <c r="D119" s="100"/>
      <c r="E119" s="100"/>
      <c r="F119" s="49"/>
    </row>
    <row r="120" spans="1:6">
      <c r="A120" s="1" t="s">
        <v>144</v>
      </c>
      <c r="B120" s="50">
        <f>IF(matlabgroove=1,vplastic,IF(matlabgroove=2,vSteel,IF(matlabgroove=3,vSiN,IF(matlabgroove=4,vother_4,F120))))</f>
        <v>0.28999999999999998</v>
      </c>
      <c r="C120" s="100" t="s">
        <v>354</v>
      </c>
      <c r="D120" s="100"/>
      <c r="E120" s="100"/>
      <c r="F120" s="49"/>
    </row>
    <row r="121" spans="1:6">
      <c r="A121" s="1" t="s">
        <v>145</v>
      </c>
      <c r="B121" s="51">
        <f>IF($E$5=TRUE,Rgroove,user number)/1000</f>
        <v>1000</v>
      </c>
      <c r="C121" s="1" t="s">
        <v>77</v>
      </c>
      <c r="F121" s="49"/>
    </row>
    <row r="122" spans="1:6">
      <c r="A122" s="1" t="s">
        <v>146</v>
      </c>
      <c r="B122" s="48">
        <f>IF(matlabball=1,Eplastic,IF(matlabball=2,ESteel,IF(matlabball=3,ESiN,IF(matlabball=4,Eother_4,F122))))</f>
        <v>310300000000</v>
      </c>
      <c r="C122" s="100" t="s">
        <v>355</v>
      </c>
      <c r="D122" s="100"/>
      <c r="E122" s="100"/>
      <c r="F122" s="49"/>
    </row>
    <row r="123" spans="1:6">
      <c r="A123" s="1" t="s">
        <v>147</v>
      </c>
      <c r="B123" s="52">
        <f>IF(matlabball=1,vplastic,IF(matlabball=2,vSteel,IF(matlabball=3,vSiN,IF(matlabball=4,vother_4,F123))))</f>
        <v>0.3</v>
      </c>
      <c r="C123" s="100" t="s">
        <v>356</v>
      </c>
      <c r="D123" s="100"/>
      <c r="E123" s="100"/>
      <c r="F123" s="49"/>
    </row>
    <row r="124" spans="1:6">
      <c r="A124" s="1" t="s">
        <v>148</v>
      </c>
      <c r="B124" s="48">
        <f>1/((1-vgone^2)/Egone+(1-vbone^2)/Ebone)</f>
        <v>134768129627.86302</v>
      </c>
      <c r="C124" s="1" t="s">
        <v>81</v>
      </c>
      <c r="E124" s="53"/>
    </row>
    <row r="125" spans="1:6">
      <c r="A125" s="1" t="s">
        <v>149</v>
      </c>
      <c r="B125" s="48">
        <f>IF($E$5=TRUE,Dball,user number)</f>
        <v>8.0000000000000002E-3</v>
      </c>
      <c r="C125" s="1" t="s">
        <v>1</v>
      </c>
      <c r="E125" s="53"/>
    </row>
    <row r="126" spans="1:6">
      <c r="A126" s="1" t="s">
        <v>150</v>
      </c>
      <c r="B126" s="51">
        <f>IF($E$5=TRUE,Rbmajor,user number)/1000</f>
        <v>4.0000000000000001E-3</v>
      </c>
      <c r="C126" s="1" t="s">
        <v>359</v>
      </c>
      <c r="F126" s="49"/>
    </row>
    <row r="127" spans="1:6">
      <c r="A127" s="1" t="s">
        <v>151</v>
      </c>
      <c r="B127" s="51">
        <f>IF($E$5=TRUE,Rbminor,user number)/1000</f>
        <v>4.0000000000000001E-3</v>
      </c>
      <c r="C127" s="1" t="s">
        <v>360</v>
      </c>
      <c r="F127" s="49"/>
    </row>
    <row r="128" spans="1:6">
      <c r="A128" s="1" t="s">
        <v>152</v>
      </c>
      <c r="B128" s="51">
        <f>1/(1/Rgthree+1/Rpthree+1/Rathree)</f>
        <v>1.9999960000080001E-3</v>
      </c>
      <c r="C128" s="1" t="s">
        <v>86</v>
      </c>
    </row>
    <row r="129" spans="1:9">
      <c r="A129" s="1" t="s">
        <v>153</v>
      </c>
      <c r="B129" s="51">
        <f>Rethree*SQRT((1/Rgthree)^2+(1/Rpthree-1/Rathree)^2+2*(-1/Rgthree)*(1/Rpthree-1/Rathree)*COS(IF(Costheta=TRUE, 0,2*PI()/2)))</f>
        <v>1.999996000008E-6</v>
      </c>
      <c r="C129" s="1" t="s">
        <v>88</v>
      </c>
    </row>
    <row r="130" spans="1:9">
      <c r="A130" s="1" t="s">
        <v>154</v>
      </c>
      <c r="B130" s="51">
        <f>ACOS(B129)</f>
        <v>1.5707943267988966</v>
      </c>
    </row>
    <row r="131" spans="1:9">
      <c r="A131" s="1" t="s">
        <v>155</v>
      </c>
      <c r="B131" s="51">
        <f>1.939*2.71831^(-5.26*theta_3)+1.78*2.71831^(-1.09*theta_3)+0.723/theta_3+0.221</f>
        <v>1.0030158869708272</v>
      </c>
    </row>
    <row r="132" spans="1:9">
      <c r="A132" s="1" t="s">
        <v>156</v>
      </c>
      <c r="B132" s="51">
        <f>35.228*2.71831^(-0.98*theta_3)-32.424*2.71831^(-1.0475*theta_3)+1.486*theta_3-2.634</f>
        <v>1.0014071467537691</v>
      </c>
    </row>
    <row r="133" spans="1:9">
      <c r="A133" s="1" t="s">
        <v>157</v>
      </c>
      <c r="B133" s="51">
        <f>-0.214*2.71831^(-4.95*theta_3)-0.179*theta_3^2+0.555*theta_3+0.319</f>
        <v>0.74903732217685814</v>
      </c>
    </row>
    <row r="134" spans="1:9">
      <c r="A134" s="1" t="s">
        <v>158</v>
      </c>
      <c r="B134" s="48">
        <f>MIN( IF(matlabball=1,plastic,IF(matlabball=2,Steel,IF(matlabball=3,SiN,IF(matlabball=4,Other_4,F134)))), IF(matlabgroove=1,plastic,IF(matlabgroove=2,Steel,IF(matlabgroove=3,SiN,IF(matlabgroove=4,Other_4,F134)))))</f>
        <v>1724000000</v>
      </c>
      <c r="C134" s="1" t="s">
        <v>94</v>
      </c>
      <c r="F134" s="49"/>
    </row>
    <row r="135" spans="1:9" s="25" customFormat="1">
      <c r="A135" s="25" t="s">
        <v>159</v>
      </c>
    </row>
    <row r="136" spans="1:9">
      <c r="A136" s="1" t="s">
        <v>160</v>
      </c>
      <c r="B136" s="54">
        <f>(1-$E$5)*(1)+$E$5*(0)</f>
        <v>0</v>
      </c>
      <c r="C136" s="1" t="s">
        <v>161</v>
      </c>
      <c r="D136" s="54">
        <f>(1-$E$5)*(1)+$E$5*(0)</f>
        <v>0</v>
      </c>
      <c r="E136" s="1" t="s">
        <v>162</v>
      </c>
      <c r="F136" s="54">
        <f>(1-$E$5)*(1)+$E$5*(0)</f>
        <v>0</v>
      </c>
    </row>
    <row r="137" spans="1:9">
      <c r="A137" s="1" t="s">
        <v>163</v>
      </c>
      <c r="B137" s="54">
        <f>(1-$E$5)*(1)+$E$5*(0)</f>
        <v>0</v>
      </c>
      <c r="C137" s="1" t="s">
        <v>164</v>
      </c>
      <c r="D137" s="54">
        <f>(1-$E$5)*(1)+$E$5*(0)</f>
        <v>0</v>
      </c>
      <c r="E137" s="1" t="s">
        <v>165</v>
      </c>
      <c r="F137" s="54">
        <f>(1-$E$5)*(1)+$E$5*(0)</f>
        <v>0</v>
      </c>
    </row>
    <row r="138" spans="1:9">
      <c r="A138" s="1" t="s">
        <v>166</v>
      </c>
      <c r="B138" s="54">
        <f>(1-$E$5)*(1)+$E$5*(Fpreload)</f>
        <v>-100</v>
      </c>
      <c r="C138" s="1" t="s">
        <v>167</v>
      </c>
      <c r="D138" s="54">
        <f>(1-$E$5)*(1)+$E$5*(Fpreload)</f>
        <v>-100</v>
      </c>
      <c r="E138" s="1" t="s">
        <v>168</v>
      </c>
      <c r="F138" s="54">
        <f>(1-$E$5)*(1)+$E$5*(Fpreload)</f>
        <v>-100</v>
      </c>
    </row>
    <row r="139" spans="1:9">
      <c r="A139" s="1" t="s">
        <v>169</v>
      </c>
      <c r="B139" s="54">
        <f>(1-$E$5)*(1)+$E$5*(0)</f>
        <v>0</v>
      </c>
      <c r="C139" s="1" t="s">
        <v>170</v>
      </c>
      <c r="D139" s="54">
        <f>(1-$E$5)*(1)+$E$5*(-Dcoupling*SQRT(3)/4)</f>
        <v>-2.1650635094610966E-2</v>
      </c>
      <c r="E139" s="1" t="s">
        <v>171</v>
      </c>
      <c r="F139" s="54">
        <f>(1-$E$5)*(1)+$E$5*(Dcoupling*SQRT(3)/4)</f>
        <v>2.1650635094610966E-2</v>
      </c>
    </row>
    <row r="140" spans="1:9">
      <c r="A140" s="1" t="s">
        <v>172</v>
      </c>
      <c r="B140" s="54">
        <f>(1-$E$5)*(1)+$E$5*(Dcoupling/2)</f>
        <v>2.5000000000000001E-2</v>
      </c>
      <c r="C140" s="1" t="s">
        <v>173</v>
      </c>
      <c r="D140" s="54">
        <f>(1-$E$5)*(1)+$E$5*(-Dcoupling/4)</f>
        <v>-1.2500000000000001E-2</v>
      </c>
      <c r="E140" s="1" t="s">
        <v>174</v>
      </c>
      <c r="F140" s="54">
        <f>(1-$E$5)*(1)+$E$5*(-Dcoupling/4)</f>
        <v>-1.2500000000000001E-2</v>
      </c>
    </row>
    <row r="141" spans="1:9">
      <c r="A141" s="1" t="s">
        <v>175</v>
      </c>
      <c r="B141" s="54">
        <f>(1-$E$5)*(1)+$E$5*(2*Dball)</f>
        <v>1.6E-2</v>
      </c>
      <c r="C141" s="1" t="s">
        <v>176</v>
      </c>
      <c r="D141" s="54">
        <f>(1-$E$5)*(1)+$E$5*(2*Dball)</f>
        <v>1.6E-2</v>
      </c>
      <c r="E141" s="1" t="s">
        <v>177</v>
      </c>
      <c r="F141" s="54">
        <f>(1-$E$5)*(1)+$E$5*(2*Dball)</f>
        <v>1.6E-2</v>
      </c>
    </row>
    <row r="142" spans="1:9">
      <c r="A142" s="43" t="s">
        <v>178</v>
      </c>
    </row>
    <row r="143" spans="1:9">
      <c r="A143" s="1" t="s">
        <v>179</v>
      </c>
    </row>
    <row r="144" spans="1:9">
      <c r="A144" s="1" t="s">
        <v>180</v>
      </c>
      <c r="G144" s="1" t="s">
        <v>181</v>
      </c>
      <c r="H144" s="1" t="s">
        <v>182</v>
      </c>
      <c r="I144" s="1" t="s">
        <v>183</v>
      </c>
    </row>
    <row r="145" spans="1:10">
      <c r="A145" s="1" t="s">
        <v>184</v>
      </c>
      <c r="B145" s="1" t="s">
        <v>185</v>
      </c>
      <c r="C145" s="1" t="s">
        <v>186</v>
      </c>
      <c r="D145" s="1" t="s">
        <v>187</v>
      </c>
      <c r="E145" s="1" t="s">
        <v>188</v>
      </c>
      <c r="F145" s="1" t="s">
        <v>189</v>
      </c>
    </row>
    <row r="146" spans="1:10">
      <c r="A146" s="55">
        <f>Aba</f>
        <v>-0.70710678118654757</v>
      </c>
      <c r="B146" s="55">
        <f>Abb</f>
        <v>0.70710678118654757</v>
      </c>
      <c r="C146" s="55">
        <f>Abc</f>
        <v>0.35355339059327379</v>
      </c>
      <c r="D146" s="55">
        <f>Abd</f>
        <v>-0.35355339059327379</v>
      </c>
      <c r="E146" s="55">
        <f>Abe</f>
        <v>0.35355339059327379</v>
      </c>
      <c r="F146" s="55">
        <f>Abf</f>
        <v>-0.35355339059327379</v>
      </c>
      <c r="G146" s="56" t="s">
        <v>184</v>
      </c>
      <c r="H146" s="55">
        <f>-(Fpxone+Fpxtwo+Fpxthree+FLx)</f>
        <v>0</v>
      </c>
      <c r="I146" s="55">
        <f>-(Fpxone+Fpxtwo+Fpxthree)</f>
        <v>0</v>
      </c>
      <c r="J146" s="1" t="s">
        <v>190</v>
      </c>
    </row>
    <row r="147" spans="1:10">
      <c r="A147" s="55">
        <f>Bba</f>
        <v>0</v>
      </c>
      <c r="B147" s="55">
        <f>Bbb</f>
        <v>0</v>
      </c>
      <c r="C147" s="55">
        <f>Bbc</f>
        <v>-0.61237243569579447</v>
      </c>
      <c r="D147" s="55">
        <f>Bbd</f>
        <v>0.61237243569579447</v>
      </c>
      <c r="E147" s="55">
        <f>Bbe</f>
        <v>0.61237243569579447</v>
      </c>
      <c r="F147" s="55">
        <f>Bbf</f>
        <v>-0.61237243569579447</v>
      </c>
      <c r="G147" s="56" t="s">
        <v>185</v>
      </c>
      <c r="H147" s="55">
        <f>-(Fpyone+Fpytwo+Fpythree+FLy)</f>
        <v>0</v>
      </c>
      <c r="I147" s="55">
        <f>-(Fpyone+Fpytwo+Fpythree)</f>
        <v>0</v>
      </c>
      <c r="J147" s="1" t="s">
        <v>191</v>
      </c>
    </row>
    <row r="148" spans="1:10">
      <c r="A148" s="55">
        <f>Gba</f>
        <v>0.70710678118654757</v>
      </c>
      <c r="B148" s="55">
        <f>Gbb</f>
        <v>0.70710678118654757</v>
      </c>
      <c r="C148" s="55">
        <f>Gbc</f>
        <v>0.70710678118654757</v>
      </c>
      <c r="D148" s="55">
        <f>Gbd</f>
        <v>0.70710678118654757</v>
      </c>
      <c r="E148" s="55">
        <f>Gbe</f>
        <v>0.70710678118654757</v>
      </c>
      <c r="F148" s="55">
        <f>Gbf</f>
        <v>0.70710678118654757</v>
      </c>
      <c r="G148" s="56" t="s">
        <v>186</v>
      </c>
      <c r="H148" s="55">
        <f>-(Fpzone+Fpztwo+Fpzthree+FLz)</f>
        <v>300</v>
      </c>
      <c r="I148" s="55">
        <f>-(Fpzone+Fpztwo+Fpzthree)</f>
        <v>300</v>
      </c>
      <c r="J148" s="1" t="s">
        <v>192</v>
      </c>
    </row>
    <row r="149" spans="1:10">
      <c r="A149" s="55">
        <f>-Bba*Zba+Gba*Yba</f>
        <v>1.7677669529663691E-2</v>
      </c>
      <c r="B149" s="55">
        <f>-Bbb*Zbb+Gbb*Ybb</f>
        <v>1.7677669529663691E-2</v>
      </c>
      <c r="C149" s="55">
        <f>-Bbc*Zbc+Gbc*Ybc</f>
        <v>-8.8388347648318457E-3</v>
      </c>
      <c r="D149" s="55">
        <f>-Bbd*Zbd+Gbd*Ybd</f>
        <v>-8.8388347648318457E-3</v>
      </c>
      <c r="E149" s="55">
        <f>-Bbe*Zbe+Gbe*Ybe</f>
        <v>-8.8388347648318457E-3</v>
      </c>
      <c r="F149" s="55">
        <f>-Bbf*Zbf+Gbf*Ybf</f>
        <v>-8.8388347648318457E-3</v>
      </c>
      <c r="G149" s="56" t="s">
        <v>187</v>
      </c>
      <c r="H149" s="55">
        <f>-(-Fpyone*zpone-Fpytwo*zptwo-Fpythree*zpthree+Fpzone*ypone+Fpztwo*yptwo+Fpzthree*ypthree-FLy*ZL+FLz*YL)</f>
        <v>0</v>
      </c>
      <c r="I149" s="55">
        <f>-(-Fpyone*zpone-Fpytwo*zptwo-Fpythree*zpthree+Fpzone*ypone+Fpztwo*yptwo+Fpzthree*ypthree)</f>
        <v>0</v>
      </c>
      <c r="J149" s="1" t="s">
        <v>193</v>
      </c>
    </row>
    <row r="150" spans="1:10">
      <c r="A150" s="55">
        <f>Aba*Zba-Gba*Xba</f>
        <v>0</v>
      </c>
      <c r="B150" s="55">
        <f>Abb*Zbb-Gbb*Xbb</f>
        <v>0</v>
      </c>
      <c r="C150" s="55">
        <f>Abc*Zbc-Gbc*Xbc</f>
        <v>1.5309310892394866E-2</v>
      </c>
      <c r="D150" s="55">
        <f>Abd*Zbd-Gbd*Xbd</f>
        <v>1.5309310892394864E-2</v>
      </c>
      <c r="E150" s="55">
        <f>Abe*Zbe-Gbe*Xbe</f>
        <v>-1.5309310892394864E-2</v>
      </c>
      <c r="F150" s="55">
        <f>Abf*Zbf-Gbf*Xbf</f>
        <v>-1.5309310892394866E-2</v>
      </c>
      <c r="G150" s="56" t="s">
        <v>188</v>
      </c>
      <c r="H150" s="55">
        <f>-(Fpxone*zpone+Fpxtwo*zptwo+Fpxthree*zpthree-Fpzone*xpone-Fpztwo*xptwo-Fpzthree*xpthree+FLx*ZL-FLz*XL)</f>
        <v>0</v>
      </c>
      <c r="I150" s="55">
        <f>-(Fpxone*zpone+Fpxtwo*zptwo+Fpxthree*zpthree-Fpzone*xpone-Fpztwo*xptwo-Fpzthree*xpthree)</f>
        <v>0</v>
      </c>
      <c r="J150" s="1" t="s">
        <v>194</v>
      </c>
    </row>
    <row r="151" spans="1:10">
      <c r="A151" s="55">
        <f>-Aba*Yba+Bba*Xba</f>
        <v>1.7677669529663691E-2</v>
      </c>
      <c r="B151" s="55">
        <f>-Abb*Ybb+Bbb*Xbb</f>
        <v>-1.7677669529663691E-2</v>
      </c>
      <c r="C151" s="55">
        <f>-Abc*Ybc+Bbc*Xbc</f>
        <v>1.7677669529663688E-2</v>
      </c>
      <c r="D151" s="55">
        <f>-Abd*Ybd+Bbd*Xbd</f>
        <v>-1.7677669529663688E-2</v>
      </c>
      <c r="E151" s="55">
        <f>-Abe*Ybe+Bbe*Xbe</f>
        <v>1.7677669529663688E-2</v>
      </c>
      <c r="F151" s="55">
        <f>-Abf*Ybf+Bbf*Xbf</f>
        <v>-1.7677669529663688E-2</v>
      </c>
      <c r="G151" s="56" t="s">
        <v>189</v>
      </c>
      <c r="H151" s="55">
        <f>-(-Fpxone*ypone-Fpxtwo*yptwo-Fpxthree*ypthree+Fpyone*xpone+Fpytwo*xptwo+Fpythree*xpthree-FLx*YL+FLy*XL)</f>
        <v>0</v>
      </c>
      <c r="I151" s="55">
        <f>-(-Fpxone*ypone-Fpxtwo*yptwo-Fpxthree*ypthree+Fpyone*xpone+Fpytwo*xptwo+Fpythree*xpthree)</f>
        <v>0</v>
      </c>
      <c r="J151" s="1" t="s">
        <v>195</v>
      </c>
    </row>
    <row r="152" spans="1:10">
      <c r="A152" s="56" t="s">
        <v>196</v>
      </c>
      <c r="B152" s="56"/>
      <c r="C152" s="56" t="s">
        <v>197</v>
      </c>
      <c r="D152" s="56"/>
      <c r="E152" s="56"/>
      <c r="F152" s="56"/>
      <c r="G152" s="56"/>
      <c r="H152" s="56"/>
    </row>
    <row r="153" spans="1:10">
      <c r="A153" s="56" t="s">
        <v>198</v>
      </c>
      <c r="B153" s="57">
        <f t="array" ref="B153:B158">MMULT(MINVERSE(A146:F151),H146:H151)</f>
        <v>70.710678118654741</v>
      </c>
      <c r="C153" s="58" t="s">
        <v>199</v>
      </c>
      <c r="D153" s="57">
        <f t="array" ref="D153:D158">MMULT(MINVERSE(A146:F151),I146:I151)</f>
        <v>70.710678118654741</v>
      </c>
      <c r="E153" s="56"/>
      <c r="F153" s="56"/>
      <c r="G153" s="56"/>
      <c r="H153" s="56"/>
    </row>
    <row r="154" spans="1:10">
      <c r="A154" s="56" t="s">
        <v>200</v>
      </c>
      <c r="B154" s="57">
        <v>70.710678118654741</v>
      </c>
      <c r="C154" s="58" t="s">
        <v>201</v>
      </c>
      <c r="D154" s="57">
        <v>70.710678118654741</v>
      </c>
      <c r="E154" s="56"/>
      <c r="F154" s="56"/>
      <c r="G154" s="56"/>
      <c r="H154" s="56"/>
    </row>
    <row r="155" spans="1:10">
      <c r="A155" s="56" t="s">
        <v>202</v>
      </c>
      <c r="B155" s="57">
        <v>70.710678118654755</v>
      </c>
      <c r="C155" s="58" t="s">
        <v>203</v>
      </c>
      <c r="D155" s="57">
        <v>70.710678118654755</v>
      </c>
      <c r="E155" s="56"/>
      <c r="F155" s="56"/>
      <c r="G155" s="56"/>
      <c r="H155" s="56"/>
    </row>
    <row r="156" spans="1:10">
      <c r="A156" s="56" t="s">
        <v>204</v>
      </c>
      <c r="B156" s="57">
        <v>70.710678118654755</v>
      </c>
      <c r="C156" s="58" t="s">
        <v>205</v>
      </c>
      <c r="D156" s="57">
        <v>70.710678118654755</v>
      </c>
      <c r="E156" s="56"/>
      <c r="F156" s="56"/>
      <c r="G156" s="56"/>
      <c r="H156" s="56"/>
    </row>
    <row r="157" spans="1:10">
      <c r="A157" s="56" t="s">
        <v>206</v>
      </c>
      <c r="B157" s="57">
        <v>70.710678118654755</v>
      </c>
      <c r="C157" s="58" t="s">
        <v>207</v>
      </c>
      <c r="D157" s="57">
        <v>70.710678118654755</v>
      </c>
      <c r="E157" s="56"/>
      <c r="F157" s="56"/>
      <c r="G157" s="56"/>
      <c r="H157" s="56"/>
    </row>
    <row r="158" spans="1:10">
      <c r="A158" s="56" t="s">
        <v>208</v>
      </c>
      <c r="B158" s="57">
        <v>70.710678118654755</v>
      </c>
      <c r="C158" s="58" t="s">
        <v>209</v>
      </c>
      <c r="D158" s="57">
        <v>70.710678118654755</v>
      </c>
      <c r="E158" s="56"/>
      <c r="F158" s="56"/>
      <c r="G158" s="56"/>
      <c r="H158" s="56"/>
    </row>
    <row r="159" spans="1:10">
      <c r="A159" s="1" t="s">
        <v>210</v>
      </c>
    </row>
    <row r="160" spans="1:10">
      <c r="A160" s="1" t="s">
        <v>211</v>
      </c>
      <c r="B160" s="59">
        <f>(Xba+Xbb+Dbone*Aba+Dbone*Abb)/2</f>
        <v>0</v>
      </c>
      <c r="C160" s="60" t="s">
        <v>212</v>
      </c>
      <c r="D160" s="59">
        <f>(Xbc+Xbd+Dbtwo*Abc+Dbtwo*Abd)/2</f>
        <v>-2.1650635094610966E-2</v>
      </c>
      <c r="E160" s="60" t="s">
        <v>213</v>
      </c>
      <c r="F160" s="59">
        <f>(Xbe+Xbf+Dbthree*Abe+Dbthree*Abf)/2</f>
        <v>2.1650635094610966E-2</v>
      </c>
    </row>
    <row r="161" spans="1:6">
      <c r="A161" s="1" t="s">
        <v>214</v>
      </c>
      <c r="B161" s="59">
        <f>(Yba+Ybb+Dbone*Bba+Dbone*Bbb)/2</f>
        <v>2.5000000000000001E-2</v>
      </c>
      <c r="C161" s="60" t="s">
        <v>215</v>
      </c>
      <c r="D161" s="59">
        <f>(Ybc+Ybd+Dbtwo*Bbc+Dbtwo*Bbd)/2</f>
        <v>-1.2500000000000001E-2</v>
      </c>
      <c r="E161" s="60" t="s">
        <v>216</v>
      </c>
      <c r="F161" s="59">
        <f>(Ybe+Ybf+Dbthree*Bbe+Dbthree*Bbf)/2</f>
        <v>-1.2500000000000001E-2</v>
      </c>
    </row>
    <row r="162" spans="1:6">
      <c r="A162" s="1" t="s">
        <v>217</v>
      </c>
      <c r="B162" s="59">
        <f>(Zba+Zbb+0.5*Dbone*Gba+0.5*Dbone*Gbb)/2</f>
        <v>0</v>
      </c>
      <c r="C162" s="60" t="s">
        <v>218</v>
      </c>
      <c r="D162" s="59">
        <f>(Zbc+Zbd+0.5*Dbtwo*Gbc+0.5*Dbtwo*Gbd)/2</f>
        <v>0</v>
      </c>
      <c r="E162" s="60" t="s">
        <v>219</v>
      </c>
      <c r="F162" s="59">
        <f>(Zbe+Zbf+0.5*Dbthree*Gbe+0.5*Dbthree*Gbf)/2</f>
        <v>0</v>
      </c>
    </row>
    <row r="163" spans="1:6">
      <c r="A163" s="1" t="s">
        <v>220</v>
      </c>
      <c r="B163" s="59"/>
      <c r="C163" s="60"/>
      <c r="D163" s="59"/>
      <c r="E163" s="60"/>
      <c r="F163" s="59"/>
    </row>
    <row r="164" spans="1:6">
      <c r="A164" s="1" t="s">
        <v>221</v>
      </c>
      <c r="B164" s="61">
        <f>xboneO+(Aba*delone+Abb*deltwo)/2</f>
        <v>0</v>
      </c>
      <c r="C164" s="60" t="s">
        <v>222</v>
      </c>
      <c r="D164" s="59">
        <f>xbtwoO+(Abc*delthree+Abd*delfour)/2</f>
        <v>-2.1650635094610966E-2</v>
      </c>
      <c r="E164" s="60" t="s">
        <v>223</v>
      </c>
      <c r="F164" s="59">
        <f>xbthreeO+(Abe*delfive+Abf*delsix)/2</f>
        <v>2.1650635094610966E-2</v>
      </c>
    </row>
    <row r="165" spans="1:6">
      <c r="A165" s="1" t="s">
        <v>224</v>
      </c>
      <c r="B165" s="59">
        <f>yboneO+(Bba*delone+Bbb*deltwo)/2</f>
        <v>2.5000000000000001E-2</v>
      </c>
      <c r="C165" s="60" t="s">
        <v>225</v>
      </c>
      <c r="D165" s="59">
        <f>ybtwoO+(Bbc*delthree+Bbd*delfour)/2</f>
        <v>-1.2500000000000001E-2</v>
      </c>
      <c r="E165" s="60" t="s">
        <v>226</v>
      </c>
      <c r="F165" s="59">
        <f>ybthreeO+(Bbe*delfive+Bbf*delsix)/2</f>
        <v>-1.2500000000000001E-2</v>
      </c>
    </row>
    <row r="166" spans="1:6">
      <c r="A166" s="1" t="s">
        <v>227</v>
      </c>
      <c r="B166" s="59">
        <f>zboneO+(Gba*delone+Gbb*deltwo)/2</f>
        <v>0</v>
      </c>
      <c r="C166" s="60" t="s">
        <v>228</v>
      </c>
      <c r="D166" s="59">
        <f>zbtwoO+(Gbc*delthree+Gbd*delfour)/2</f>
        <v>0</v>
      </c>
      <c r="E166" s="60" t="s">
        <v>229</v>
      </c>
      <c r="F166" s="59">
        <f>zbthreeO+(Gbe*delfive+Gbf*delsix)/2</f>
        <v>0</v>
      </c>
    </row>
    <row r="167" spans="1:6">
      <c r="A167" s="1" t="s">
        <v>230</v>
      </c>
      <c r="B167" s="59"/>
      <c r="C167" s="60"/>
      <c r="D167" s="59"/>
      <c r="E167" s="60"/>
      <c r="F167" s="59"/>
    </row>
    <row r="168" spans="1:6">
      <c r="A168" s="1" t="s">
        <v>231</v>
      </c>
      <c r="B168" s="55">
        <f>xboneN-xboneO</f>
        <v>0</v>
      </c>
      <c r="C168" s="60" t="s">
        <v>232</v>
      </c>
      <c r="D168" s="62">
        <f>xbtwoN-xbtwoO</f>
        <v>0</v>
      </c>
      <c r="E168" s="60" t="s">
        <v>233</v>
      </c>
      <c r="F168" s="62">
        <f>xbthreeN-xbthreeO</f>
        <v>0</v>
      </c>
    </row>
    <row r="169" spans="1:6">
      <c r="A169" s="1" t="s">
        <v>234</v>
      </c>
      <c r="B169" s="55">
        <f>yboneN-yboneO</f>
        <v>0</v>
      </c>
      <c r="C169" s="60" t="s">
        <v>235</v>
      </c>
      <c r="D169" s="62">
        <f>ybtwoN-ybtwoO</f>
        <v>0</v>
      </c>
      <c r="E169" s="60" t="s">
        <v>236</v>
      </c>
      <c r="F169" s="62">
        <f>ybthreeN-ybthreeO</f>
        <v>0</v>
      </c>
    </row>
    <row r="170" spans="1:6">
      <c r="A170" s="1" t="s">
        <v>237</v>
      </c>
      <c r="B170" s="55">
        <f>zboneN-zboneO</f>
        <v>0</v>
      </c>
      <c r="C170" s="60" t="s">
        <v>238</v>
      </c>
      <c r="D170" s="62">
        <f>zbtwoN-zbtwoO</f>
        <v>0</v>
      </c>
      <c r="E170" s="60" t="s">
        <v>239</v>
      </c>
      <c r="F170" s="62">
        <f>zbthreeN-zbthreeO</f>
        <v>0</v>
      </c>
    </row>
    <row r="171" spans="1:6">
      <c r="A171" s="1" t="s">
        <v>240</v>
      </c>
      <c r="B171" s="55"/>
      <c r="C171" s="60"/>
      <c r="D171" s="55"/>
      <c r="E171" s="60"/>
      <c r="F171" s="55"/>
    </row>
    <row r="172" spans="1:6">
      <c r="A172" s="1" t="s">
        <v>241</v>
      </c>
      <c r="C172" s="1" t="s">
        <v>242</v>
      </c>
      <c r="E172" s="1" t="s">
        <v>243</v>
      </c>
    </row>
    <row r="173" spans="1:6">
      <c r="A173" s="1" t="s">
        <v>244</v>
      </c>
      <c r="B173" s="63">
        <f>SQRT((xboneO-xbtwoO)^2+(yboneO-ybtwoO)^2+(zboneO-zbtwoO)^2)</f>
        <v>4.330127018922194E-2</v>
      </c>
      <c r="C173" s="46" t="s">
        <v>245</v>
      </c>
      <c r="D173" s="64">
        <f>SQRT((xboneN-xbtwoN)^2+(yboneN-ybtwoN)^2+(zboneN-zbtwoN)^2)</f>
        <v>4.330127018922194E-2</v>
      </c>
      <c r="E173" s="1" t="s">
        <v>246</v>
      </c>
      <c r="F173" s="55">
        <f>B173-D173</f>
        <v>0</v>
      </c>
    </row>
    <row r="174" spans="1:6">
      <c r="A174" s="1" t="s">
        <v>247</v>
      </c>
      <c r="B174" s="63">
        <f>SQRT((xbtwoO-xbthreeO)^2+(ybtwoO-ybthreeO)^2+(zbtwoO-zbthreeO)^2)</f>
        <v>4.3301270189221933E-2</v>
      </c>
      <c r="C174" s="46" t="s">
        <v>248</v>
      </c>
      <c r="D174" s="64">
        <f>SQRT((xbtwoN-xbthreeN)^2+(ybtwoN-ybthreeN)^2+(zbtwoN-zbthreeN)^2)</f>
        <v>4.3301270189221933E-2</v>
      </c>
      <c r="E174" s="1" t="s">
        <v>249</v>
      </c>
      <c r="F174" s="55">
        <f>B174-D174</f>
        <v>0</v>
      </c>
    </row>
    <row r="175" spans="1:6">
      <c r="A175" s="1" t="s">
        <v>250</v>
      </c>
      <c r="B175" s="63">
        <f>SQRT((xbthreeO-xboneO)^2+(ybthreeO-yboneO)^2+(zbthreeO-zboneO)^2)</f>
        <v>4.330127018922194E-2</v>
      </c>
      <c r="C175" s="46" t="s">
        <v>251</v>
      </c>
      <c r="D175" s="64">
        <f>SQRT((xbthreeN-xboneN)^2+(ybthreeN-yboneN)^2+(zbthreeN-zboneN)^2)</f>
        <v>4.330127018922194E-2</v>
      </c>
      <c r="E175" s="1" t="s">
        <v>252</v>
      </c>
      <c r="F175" s="55">
        <f>B175-D175</f>
        <v>0</v>
      </c>
    </row>
    <row r="176" spans="1:6">
      <c r="A176" s="1" t="s">
        <v>253</v>
      </c>
      <c r="D176" s="1" t="s">
        <v>254</v>
      </c>
      <c r="F176" s="1" t="s">
        <v>255</v>
      </c>
    </row>
    <row r="177" spans="1:6">
      <c r="A177" s="55">
        <f>ABS(DLotI/LotI)</f>
        <v>0</v>
      </c>
      <c r="B177" s="55"/>
      <c r="C177" s="55"/>
      <c r="D177" s="55">
        <f>MAX(ABS(delone),ABS(deltwo))/(Dbone/2)</f>
        <v>0</v>
      </c>
      <c r="E177" s="65"/>
      <c r="F177" s="55" t="e">
        <f>D177/A177</f>
        <v>#DIV/0!</v>
      </c>
    </row>
    <row r="178" spans="1:6">
      <c r="A178" s="55">
        <f>ABS(DLttI/LttI)</f>
        <v>0</v>
      </c>
      <c r="B178" s="55"/>
      <c r="C178" s="55"/>
      <c r="D178" s="55">
        <f>MAX(ABS(delthree),ABS(delfour))/(Dbtwo/2)</f>
        <v>0</v>
      </c>
      <c r="E178" s="65"/>
      <c r="F178" s="55" t="e">
        <f>D178/A178</f>
        <v>#DIV/0!</v>
      </c>
    </row>
    <row r="179" spans="1:6">
      <c r="A179" s="55">
        <f>ABS(DLtoI/LtoI)</f>
        <v>0</v>
      </c>
      <c r="B179" s="55"/>
      <c r="C179" s="55"/>
      <c r="D179" s="55">
        <f>MAX(ABS(delfive),ABS(delsix))/(Dbthree/2)</f>
        <v>0</v>
      </c>
      <c r="E179" s="65"/>
      <c r="F179" s="55" t="e">
        <f>D179/A179</f>
        <v>#DIV/0!</v>
      </c>
    </row>
    <row r="180" spans="1:6">
      <c r="A180" s="55"/>
      <c r="B180" s="55"/>
      <c r="C180" s="55"/>
      <c r="D180" s="55"/>
      <c r="E180" s="65"/>
      <c r="F180" s="55"/>
    </row>
    <row r="181" spans="1:6">
      <c r="A181" s="66" t="s">
        <v>256</v>
      </c>
      <c r="B181" s="55"/>
      <c r="C181" s="55"/>
      <c r="D181" s="55"/>
      <c r="E181" s="65"/>
      <c r="F181" s="55"/>
    </row>
    <row r="182" spans="1:6">
      <c r="A182" s="1" t="s">
        <v>257</v>
      </c>
      <c r="C182" s="1" t="s">
        <v>258</v>
      </c>
      <c r="E182" s="1" t="s">
        <v>259</v>
      </c>
    </row>
    <row r="183" spans="1:6">
      <c r="A183" s="1" t="s">
        <v>260</v>
      </c>
      <c r="B183" s="67">
        <f>(AbthreeO-AbtwoO)/(PI()*(AmtwoO-AmthreeO)/180)</f>
        <v>0</v>
      </c>
      <c r="C183" s="68" t="s">
        <v>261</v>
      </c>
      <c r="D183" s="67">
        <f>SQRT((xboneN-xci)^2+(yboneN-yci)^2+(zboneN-zci)^2)</f>
        <v>2.5000000000000001E-2</v>
      </c>
      <c r="E183" s="1" t="s">
        <v>262</v>
      </c>
      <c r="F183" s="55">
        <f>dxone*(LotI-Dcone)/LotI+dxtwo*(LttI-Dctwo)/LttI+dxthree*(LtoI-Dcthree)/LtoI</f>
        <v>0</v>
      </c>
    </row>
    <row r="184" spans="1:6">
      <c r="A184" s="1" t="s">
        <v>263</v>
      </c>
      <c r="B184" s="67">
        <f>(PI()*AmtwoO/180)*xci+AbtwoO</f>
        <v>0</v>
      </c>
      <c r="C184" s="68" t="s">
        <v>264</v>
      </c>
      <c r="D184" s="67">
        <f>SQRT((xbtwoN-xci)^2+(ybtwoN-yci)^2+(zbtwoN-zci)^2)</f>
        <v>2.5000000000000001E-2</v>
      </c>
      <c r="E184" s="1" t="s">
        <v>265</v>
      </c>
      <c r="F184" s="55">
        <f>dyone*(LotI-Dcone)/LotI+dytwo*(LttI-Dctwo)/LttI+dythree*(LtoI-Dcthree)/LtoI</f>
        <v>0</v>
      </c>
    </row>
    <row r="185" spans="1:6">
      <c r="A185" s="1" t="s">
        <v>266</v>
      </c>
      <c r="B185" s="67">
        <f>(zboneO+zbtwoO+zbthreeO)/3</f>
        <v>0</v>
      </c>
      <c r="C185" s="68" t="s">
        <v>267</v>
      </c>
      <c r="D185" s="67">
        <f>SQRT((xbthreeN-xci)^2+(ybthreeN-yci)^2+(zbthreeN-zci)^2)</f>
        <v>2.5000000000000001E-2</v>
      </c>
      <c r="E185" s="1" t="s">
        <v>268</v>
      </c>
      <c r="F185" s="55">
        <f>dzone*(LotI-Dcone)/LotI+dztwo*(LttI-Dctwo)/LttI+dzthree*(LtoI-Dcthree)/LtoI</f>
        <v>0</v>
      </c>
    </row>
    <row r="186" spans="1:6">
      <c r="A186" s="1" t="s">
        <v>269</v>
      </c>
      <c r="D186" s="1" t="s">
        <v>270</v>
      </c>
    </row>
    <row r="187" spans="1:6">
      <c r="A187" s="1" t="s">
        <v>271</v>
      </c>
      <c r="B187" s="69">
        <f>180*ACOS((LttI^2-LotI^2-LtoI^2)/(-2*LotI*LtoI))/PI()</f>
        <v>59.999999999999986</v>
      </c>
      <c r="C187" s="1" t="s">
        <v>272</v>
      </c>
      <c r="D187" s="1" t="s">
        <v>273</v>
      </c>
      <c r="E187" s="70">
        <f>LotN*SIN(PI()*ABS(Aot-Att)/180)</f>
        <v>3.7500000000000006E-2</v>
      </c>
      <c r="F187" s="1" t="s">
        <v>274</v>
      </c>
    </row>
    <row r="188" spans="1:6">
      <c r="A188" s="1" t="s">
        <v>275</v>
      </c>
      <c r="B188" s="69">
        <f>180*ACOS((LtoI^2-LotI^2-LttI^2)/(-2*LotI*LttI))/PI()</f>
        <v>60.000000000000007</v>
      </c>
      <c r="C188" s="1" t="s">
        <v>276</v>
      </c>
      <c r="D188" s="1" t="s">
        <v>277</v>
      </c>
      <c r="E188" s="70">
        <f>LttN*SIN(PI()*ABS(Aot-Att)/180)</f>
        <v>3.7500000000000006E-2</v>
      </c>
      <c r="F188" s="1" t="s">
        <v>278</v>
      </c>
    </row>
    <row r="189" spans="1:6">
      <c r="A189" s="1" t="s">
        <v>279</v>
      </c>
      <c r="B189" s="69">
        <f>180*ACOS((LotI^2-LtoI^2-LttI^2)/(-2*LtoI*LttI))/PI()</f>
        <v>60.000000000000007</v>
      </c>
      <c r="C189" s="1" t="s">
        <v>280</v>
      </c>
      <c r="D189" s="1" t="s">
        <v>281</v>
      </c>
      <c r="E189" s="70">
        <f>LttN*SIN(PI()*ABS(Ato-Att)/180)</f>
        <v>3.7500000000000006E-2</v>
      </c>
      <c r="F189" s="1" t="s">
        <v>282</v>
      </c>
    </row>
    <row r="190" spans="1:6">
      <c r="A190" s="1" t="s">
        <v>283</v>
      </c>
      <c r="D190" s="1" t="s">
        <v>284</v>
      </c>
    </row>
    <row r="191" spans="1:6">
      <c r="A191" s="1" t="s">
        <v>285</v>
      </c>
      <c r="B191" s="70">
        <f>180*ACOS((LttN^2-LotN^2-LtoN^2)/(-2*LotN*LtoN))/PI()</f>
        <v>59.999999999999986</v>
      </c>
      <c r="C191" s="1" t="s">
        <v>272</v>
      </c>
      <c r="D191" s="1" t="s">
        <v>286</v>
      </c>
      <c r="E191" s="65">
        <f>180*ATAN2((xboneO-xbtwoO),(yboneO-ybtwoO))/PI()</f>
        <v>60.000000000000007</v>
      </c>
      <c r="F191" s="1" t="s">
        <v>287</v>
      </c>
    </row>
    <row r="192" spans="1:6">
      <c r="A192" s="1" t="s">
        <v>288</v>
      </c>
      <c r="B192" s="70">
        <f>180*ACOS((LtoN^2-LotN^2-LttN^2)/(-2*LotN*LttN))/PI()</f>
        <v>60.000000000000007</v>
      </c>
      <c r="C192" s="1" t="s">
        <v>276</v>
      </c>
      <c r="D192" s="1" t="s">
        <v>289</v>
      </c>
      <c r="E192" s="65">
        <f>180*ATAN2((xbthreeO-xbtwoO),(ybthreeO-ybtwoO))/PI()</f>
        <v>0</v>
      </c>
      <c r="F192" s="1" t="s">
        <v>290</v>
      </c>
    </row>
    <row r="193" spans="1:10">
      <c r="A193" s="1" t="s">
        <v>291</v>
      </c>
      <c r="B193" s="70">
        <f>180*ACOS((LotN^2-LtoN^2-LttN^2)/(-2*LtoN*LttN))/PI()</f>
        <v>60.000000000000007</v>
      </c>
      <c r="C193" s="1" t="s">
        <v>280</v>
      </c>
      <c r="D193" s="1" t="s">
        <v>292</v>
      </c>
      <c r="E193" s="65">
        <f>180*ATAN2((xboneO-xbthreeO),(yboneO-ybthreeO))/PI()</f>
        <v>119.99999999999999</v>
      </c>
      <c r="F193" s="1" t="s">
        <v>293</v>
      </c>
    </row>
    <row r="194" spans="1:10">
      <c r="A194" s="1" t="s">
        <v>294</v>
      </c>
    </row>
    <row r="195" spans="1:10">
      <c r="A195" s="1" t="s">
        <v>295</v>
      </c>
      <c r="B195" s="65">
        <f>180*ATAN2((xboneN-xbtwoN),(yboneN-ybtwoN))/PI()</f>
        <v>60.000000000000007</v>
      </c>
      <c r="C195" s="1" t="s">
        <v>287</v>
      </c>
      <c r="E195" s="1">
        <f>SIGN(Bba*delone+Bbb*deltwo)</f>
        <v>0</v>
      </c>
    </row>
    <row r="196" spans="1:10">
      <c r="A196" s="1" t="s">
        <v>296</v>
      </c>
      <c r="B196" s="65">
        <f>180*ATAN2((xbthreeN-xbtwoN),(ybthreeN-ybtwoN))/PI()</f>
        <v>0</v>
      </c>
      <c r="C196" s="1" t="s">
        <v>290</v>
      </c>
      <c r="E196" s="1">
        <f>SIGN(0)</f>
        <v>0</v>
      </c>
    </row>
    <row r="197" spans="1:10">
      <c r="A197" s="1" t="s">
        <v>297</v>
      </c>
      <c r="B197" s="65">
        <f>180*ATAN2((xboneN-xbthreeN),(yboneN-ybthreeN))/PI()</f>
        <v>119.99999999999999</v>
      </c>
      <c r="C197" s="1" t="s">
        <v>293</v>
      </c>
    </row>
    <row r="198" spans="1:10">
      <c r="A198" s="1" t="s">
        <v>298</v>
      </c>
      <c r="B198" s="65"/>
    </row>
    <row r="199" spans="1:10">
      <c r="A199" s="1" t="s">
        <v>299</v>
      </c>
      <c r="B199" s="65">
        <f>Att+Angtwo/2</f>
        <v>30.000000000000004</v>
      </c>
      <c r="C199" s="1" t="s">
        <v>300</v>
      </c>
      <c r="D199" s="65">
        <f>ybtwoO-TAN(PI()*AmtwoO/180)*xbtwoO</f>
        <v>0</v>
      </c>
    </row>
    <row r="200" spans="1:10">
      <c r="A200" s="1" t="s">
        <v>301</v>
      </c>
      <c r="B200" s="65">
        <f>Ato+Angthree/2</f>
        <v>150</v>
      </c>
      <c r="C200" s="1" t="s">
        <v>302</v>
      </c>
      <c r="D200" s="65">
        <f>ybthreeO-TAN(PI()*AmthreeO/180)*xbthreeO</f>
        <v>0</v>
      </c>
    </row>
    <row r="201" spans="1:10">
      <c r="A201" s="1" t="s">
        <v>303</v>
      </c>
      <c r="H201" s="55"/>
      <c r="I201" s="55"/>
      <c r="J201" s="55"/>
    </row>
    <row r="202" spans="1:10">
      <c r="A202" s="1" t="s">
        <v>304</v>
      </c>
      <c r="B202" s="55">
        <f>dzone/Aone</f>
        <v>0</v>
      </c>
      <c r="C202" s="1" t="s">
        <v>305</v>
      </c>
      <c r="H202" s="55"/>
      <c r="I202" s="55"/>
      <c r="J202" s="55"/>
    </row>
    <row r="203" spans="1:10">
      <c r="A203" s="1" t="s">
        <v>306</v>
      </c>
      <c r="B203" s="55">
        <f>dztwo/Atwo</f>
        <v>0</v>
      </c>
      <c r="C203" s="1" t="s">
        <v>307</v>
      </c>
    </row>
    <row r="204" spans="1:10">
      <c r="A204" s="1" t="s">
        <v>308</v>
      </c>
      <c r="B204" s="55">
        <f>dzthree/Athree</f>
        <v>0</v>
      </c>
      <c r="C204" s="1" t="s">
        <v>309</v>
      </c>
    </row>
    <row r="205" spans="1:10">
      <c r="A205" s="1" t="s">
        <v>310</v>
      </c>
    </row>
    <row r="206" spans="1:10">
      <c r="A206" s="1" t="s">
        <v>52</v>
      </c>
      <c r="B206" s="55">
        <f>Ttt*COS(PI()*Att/180)+Tto*COS(PI()*Ato/180)-Tot*COS(PI()*Aot/180)</f>
        <v>0</v>
      </c>
      <c r="C206" s="56"/>
      <c r="D206" s="56" t="s">
        <v>311</v>
      </c>
      <c r="E206" s="55">
        <f>SQRT((0.5*(Aba*delone+Abb*deltwo))^2+(0.5*(Bba*delone+Bbb*deltwo))^2)*SIGN(-(Aba*delone+Abb*deltwo))/SQRT((xboneO-xci)^2+(yboneO-yci)^2)</f>
        <v>0</v>
      </c>
      <c r="F206" s="1" t="s">
        <v>312</v>
      </c>
      <c r="G206" s="56"/>
    </row>
    <row r="207" spans="1:10">
      <c r="A207" s="1" t="s">
        <v>53</v>
      </c>
      <c r="B207" s="55">
        <f>Ttt*SIN(PI()*Att/180)+Tto*SIN(PI()*Ato/180)-Tot*SIN(PI()*Aot/180)</f>
        <v>0</v>
      </c>
      <c r="C207" s="56"/>
      <c r="D207" s="56" t="s">
        <v>313</v>
      </c>
      <c r="E207" s="55">
        <f>SQRT((0.5*(Abc*delthree+Abd*delfour))^2+(0.5*(Bbc*delthree+Bbd*delfour))^2)*SIGN(Abc*delthree+Abd*delfour)/SQRT((xbtwoO-xci)^2+(ybtwoO-yci)^2)</f>
        <v>0</v>
      </c>
      <c r="F207" s="1" t="s">
        <v>314</v>
      </c>
      <c r="G207" s="56"/>
    </row>
    <row r="208" spans="1:10">
      <c r="A208" s="1" t="s">
        <v>54</v>
      </c>
      <c r="B208" s="55">
        <f>(E206+E207+E208)/3</f>
        <v>0</v>
      </c>
      <c r="C208" s="56"/>
      <c r="D208" s="56" t="s">
        <v>315</v>
      </c>
      <c r="E208" s="55">
        <f>SQRT((0.5*(Abe*delfive+Abf*delsix))^2+(0.5*(Bbe*delfive+Bbf*delsix))^2)*SIGN(Abe*delfive+Abf*delsix)/SQRT((xbthreeO-xci)^2+(ybthreeO-yci)^2)</f>
        <v>0</v>
      </c>
      <c r="F208" s="1" t="s">
        <v>316</v>
      </c>
      <c r="G208" s="56"/>
    </row>
    <row r="209" spans="1:7">
      <c r="A209" s="1" t="s">
        <v>317</v>
      </c>
      <c r="F209" s="1" t="s">
        <v>318</v>
      </c>
    </row>
    <row r="210" spans="1:7">
      <c r="A210" s="55">
        <v>1</v>
      </c>
      <c r="B210" s="55">
        <f>-EpsZ</f>
        <v>0</v>
      </c>
      <c r="C210" s="55">
        <f>EpsY</f>
        <v>0</v>
      </c>
      <c r="D210" s="55">
        <f>dxc</f>
        <v>0</v>
      </c>
      <c r="E210" s="1" t="s">
        <v>319</v>
      </c>
      <c r="F210" s="65">
        <f>Xerr/1000-xci</f>
        <v>0</v>
      </c>
    </row>
    <row r="211" spans="1:7">
      <c r="A211" s="55">
        <f>EpsZ</f>
        <v>0</v>
      </c>
      <c r="B211" s="55">
        <v>1</v>
      </c>
      <c r="C211" s="55">
        <f>-EpsX</f>
        <v>0</v>
      </c>
      <c r="D211" s="55">
        <f>dyc</f>
        <v>0</v>
      </c>
      <c r="E211" s="1" t="s">
        <v>320</v>
      </c>
      <c r="F211" s="65">
        <f>Yerr/1000-yci</f>
        <v>0</v>
      </c>
    </row>
    <row r="212" spans="1:7">
      <c r="A212" s="55">
        <f>-EpsY</f>
        <v>0</v>
      </c>
      <c r="B212" s="55">
        <f>EpsX</f>
        <v>0</v>
      </c>
      <c r="C212" s="55">
        <v>1</v>
      </c>
      <c r="D212" s="55">
        <f>dzc</f>
        <v>0</v>
      </c>
      <c r="E212" s="1" t="s">
        <v>321</v>
      </c>
      <c r="F212" s="65">
        <f>Zerr/1000-zci</f>
        <v>0</v>
      </c>
    </row>
    <row r="213" spans="1:7">
      <c r="A213" s="55">
        <v>0</v>
      </c>
      <c r="B213" s="55">
        <v>0</v>
      </c>
      <c r="C213" s="55">
        <v>0</v>
      </c>
      <c r="D213" s="55">
        <v>1</v>
      </c>
      <c r="E213" s="1">
        <v>1</v>
      </c>
      <c r="F213" s="65">
        <v>1</v>
      </c>
    </row>
    <row r="214" spans="1:7">
      <c r="A214" s="1" t="s">
        <v>322</v>
      </c>
    </row>
    <row r="215" spans="1:7">
      <c r="A215" s="1" t="s">
        <v>17</v>
      </c>
      <c r="B215" s="55">
        <f t="array" ref="B215:B218">MMULT(A210:D213,F210:F213)-F210:F213</f>
        <v>0</v>
      </c>
      <c r="D215" s="56"/>
      <c r="E215" s="56"/>
      <c r="F215" s="56"/>
      <c r="G215" s="56"/>
    </row>
    <row r="216" spans="1:7">
      <c r="A216" s="1" t="s">
        <v>18</v>
      </c>
      <c r="B216" s="55">
        <v>0</v>
      </c>
      <c r="D216" s="56"/>
      <c r="E216" s="56"/>
      <c r="F216" s="56"/>
      <c r="G216" s="56"/>
    </row>
    <row r="217" spans="1:7">
      <c r="A217" s="1" t="s">
        <v>19</v>
      </c>
      <c r="B217" s="55">
        <v>0</v>
      </c>
      <c r="D217" s="56"/>
      <c r="E217" s="56"/>
      <c r="F217" s="56"/>
      <c r="G217" s="56"/>
    </row>
    <row r="218" spans="1:7">
      <c r="B218" s="1">
        <v>0</v>
      </c>
    </row>
  </sheetData>
  <mergeCells count="39">
    <mergeCell ref="A2:G2"/>
    <mergeCell ref="A1:G1"/>
    <mergeCell ref="A26:B26"/>
    <mergeCell ref="A25:B25"/>
    <mergeCell ref="A24:B24"/>
    <mergeCell ref="A21:B21"/>
    <mergeCell ref="F4:G4"/>
    <mergeCell ref="F6:G6"/>
    <mergeCell ref="F11:G11"/>
    <mergeCell ref="A4:C4"/>
    <mergeCell ref="E5:E6"/>
    <mergeCell ref="A23:B23"/>
    <mergeCell ref="A22:B22"/>
    <mergeCell ref="A5:D6"/>
    <mergeCell ref="A7:D7"/>
    <mergeCell ref="F67:F68"/>
    <mergeCell ref="F92:F93"/>
    <mergeCell ref="F117:F118"/>
    <mergeCell ref="C19:E20"/>
    <mergeCell ref="C94:E94"/>
    <mergeCell ref="C95:E95"/>
    <mergeCell ref="C97:E97"/>
    <mergeCell ref="E34:E35"/>
    <mergeCell ref="C69:E69"/>
    <mergeCell ref="C70:E70"/>
    <mergeCell ref="A35:B35"/>
    <mergeCell ref="E27:F27"/>
    <mergeCell ref="F16:G16"/>
    <mergeCell ref="C35:D35"/>
    <mergeCell ref="F35:G35"/>
    <mergeCell ref="A27:C27"/>
    <mergeCell ref="A48:B48"/>
    <mergeCell ref="C122:E122"/>
    <mergeCell ref="C123:E123"/>
    <mergeCell ref="C72:E72"/>
    <mergeCell ref="C73:E73"/>
    <mergeCell ref="C119:E119"/>
    <mergeCell ref="C120:E120"/>
    <mergeCell ref="C98:E98"/>
  </mergeCells>
  <phoneticPr fontId="0" type="noConversion"/>
  <printOptions headings="1" gridLines="1" gridLinesSet="0"/>
  <pageMargins left="0.5" right="0.5" top="0.5" bottom="0.5" header="0.5" footer="0.5"/>
  <pageSetup paperSize="17" scale="71" fitToHeight="0" orientation="landscape"/>
  <headerFooter alignWithMargins="0">
    <oddHeader>&amp;CAppendix A</oddHeader>
    <oddFooter>&amp;C&amp;"Chicago"&amp;0Page &amp;P_x000D_&amp;1#&amp;"Aptos"&amp;11&amp;K000000 Classification: Internal</oddFooter>
  </headerFooter>
</worksheet>
</file>

<file path=docMetadata/LabelInfo.xml><?xml version="1.0" encoding="utf-8"?>
<clbl:labelList xmlns:clbl="http://schemas.microsoft.com/office/2020/mipLabelMetadata">
  <clbl:label id="{7abd91a1-c90f-4601-bfd5-f396b8a3ebb4}" enabled="1" method="Privileged" siteId="{9d27ba74-0100-4d0d-81ff-1d728dae8df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243</vt:i4>
      </vt:variant>
    </vt:vector>
  </HeadingPairs>
  <TitlesOfParts>
    <vt:vector size="244" baseType="lpstr">
      <vt:lpstr>Couplng.xls</vt:lpstr>
      <vt:lpstr>a</vt:lpstr>
      <vt:lpstr>Aba</vt:lpstr>
      <vt:lpstr>Abb</vt:lpstr>
      <vt:lpstr>Abc</vt:lpstr>
      <vt:lpstr>Abd</vt:lpstr>
      <vt:lpstr>Abe</vt:lpstr>
      <vt:lpstr>Abf</vt:lpstr>
      <vt:lpstr>AbthreeO</vt:lpstr>
      <vt:lpstr>AbtwoO</vt:lpstr>
      <vt:lpstr>alpha_1</vt:lpstr>
      <vt:lpstr>alpha_2</vt:lpstr>
      <vt:lpstr>alpha_3</vt:lpstr>
      <vt:lpstr>Alumina</vt:lpstr>
      <vt:lpstr>AmthreeO</vt:lpstr>
      <vt:lpstr>AmtwoO</vt:lpstr>
      <vt:lpstr>Angone</vt:lpstr>
      <vt:lpstr>AngoneN</vt:lpstr>
      <vt:lpstr>Angthree</vt:lpstr>
      <vt:lpstr>AngthreeN</vt:lpstr>
      <vt:lpstr>Angtwo</vt:lpstr>
      <vt:lpstr>AngtwoN</vt:lpstr>
      <vt:lpstr>Aone</vt:lpstr>
      <vt:lpstr>Aot</vt:lpstr>
      <vt:lpstr>AotN</vt:lpstr>
      <vt:lpstr>Athree</vt:lpstr>
      <vt:lpstr>Ato</vt:lpstr>
      <vt:lpstr>AtoN</vt:lpstr>
      <vt:lpstr>Att</vt:lpstr>
      <vt:lpstr>AttN</vt:lpstr>
      <vt:lpstr>Atwo</vt:lpstr>
      <vt:lpstr>Bba</vt:lpstr>
      <vt:lpstr>Bbb</vt:lpstr>
      <vt:lpstr>Bbc</vt:lpstr>
      <vt:lpstr>Bbd</vt:lpstr>
      <vt:lpstr>Bbe</vt:lpstr>
      <vt:lpstr>Bbf</vt:lpstr>
      <vt:lpstr>beta_1</vt:lpstr>
      <vt:lpstr>beta_2</vt:lpstr>
      <vt:lpstr>beta_3</vt:lpstr>
      <vt:lpstr>Costheta</vt:lpstr>
      <vt:lpstr>Daone</vt:lpstr>
      <vt:lpstr>Dathree</vt:lpstr>
      <vt:lpstr>Datwo</vt:lpstr>
      <vt:lpstr>Dball</vt:lpstr>
      <vt:lpstr>Dbeq</vt:lpstr>
      <vt:lpstr>Dbone</vt:lpstr>
      <vt:lpstr>Dbthree</vt:lpstr>
      <vt:lpstr>Dbtwo</vt:lpstr>
      <vt:lpstr>Dcone</vt:lpstr>
      <vt:lpstr>Dcoup</vt:lpstr>
      <vt:lpstr>Dcoupling</vt:lpstr>
      <vt:lpstr>Dcthree</vt:lpstr>
      <vt:lpstr>Dctwo</vt:lpstr>
      <vt:lpstr>delfive</vt:lpstr>
      <vt:lpstr>delfour</vt:lpstr>
      <vt:lpstr>delone</vt:lpstr>
      <vt:lpstr>delsix</vt:lpstr>
      <vt:lpstr>DeltaX</vt:lpstr>
      <vt:lpstr>DeltaY</vt:lpstr>
      <vt:lpstr>DeltaZ</vt:lpstr>
      <vt:lpstr>delthree</vt:lpstr>
      <vt:lpstr>deltwo</vt:lpstr>
      <vt:lpstr>DLotI</vt:lpstr>
      <vt:lpstr>DLtoI</vt:lpstr>
      <vt:lpstr>DLttI</vt:lpstr>
      <vt:lpstr>Dpin</vt:lpstr>
      <vt:lpstr>Dpinarch</vt:lpstr>
      <vt:lpstr>Dpone</vt:lpstr>
      <vt:lpstr>Dpthree</vt:lpstr>
      <vt:lpstr>Dptwo</vt:lpstr>
      <vt:lpstr>dxc</vt:lpstr>
      <vt:lpstr>dxone</vt:lpstr>
      <vt:lpstr>dxthree</vt:lpstr>
      <vt:lpstr>dxtwo</vt:lpstr>
      <vt:lpstr>dyc</vt:lpstr>
      <vt:lpstr>dyone</vt:lpstr>
      <vt:lpstr>dythree</vt:lpstr>
      <vt:lpstr>dytwo</vt:lpstr>
      <vt:lpstr>dzc</vt:lpstr>
      <vt:lpstr>dzone</vt:lpstr>
      <vt:lpstr>dzthree</vt:lpstr>
      <vt:lpstr>dztwo</vt:lpstr>
      <vt:lpstr>EAlumina</vt:lpstr>
      <vt:lpstr>Ebone</vt:lpstr>
      <vt:lpstr>Ebthree</vt:lpstr>
      <vt:lpstr>Ebtwo</vt:lpstr>
      <vt:lpstr>Eeone</vt:lpstr>
      <vt:lpstr>Eethree</vt:lpstr>
      <vt:lpstr>Eetwo</vt:lpstr>
      <vt:lpstr>Egone</vt:lpstr>
      <vt:lpstr>Egthree</vt:lpstr>
      <vt:lpstr>Egtwo</vt:lpstr>
      <vt:lpstr>Eother_4</vt:lpstr>
      <vt:lpstr>Eplastic</vt:lpstr>
      <vt:lpstr>EpsX</vt:lpstr>
      <vt:lpstr>EpsY</vt:lpstr>
      <vt:lpstr>EpsZ</vt:lpstr>
      <vt:lpstr>ESiN</vt:lpstr>
      <vt:lpstr>ESteel</vt:lpstr>
      <vt:lpstr>fbnfive</vt:lpstr>
      <vt:lpstr>fbnfour</vt:lpstr>
      <vt:lpstr>fbnone</vt:lpstr>
      <vt:lpstr>fbnsix</vt:lpstr>
      <vt:lpstr>fbnthree</vt:lpstr>
      <vt:lpstr>fbntwo</vt:lpstr>
      <vt:lpstr>ffive</vt:lpstr>
      <vt:lpstr>ffour</vt:lpstr>
      <vt:lpstr>FLx</vt:lpstr>
      <vt:lpstr>FLy</vt:lpstr>
      <vt:lpstr>FLz</vt:lpstr>
      <vt:lpstr>fone</vt:lpstr>
      <vt:lpstr>Fpreload</vt:lpstr>
      <vt:lpstr>Fpxone</vt:lpstr>
      <vt:lpstr>Fpxthree</vt:lpstr>
      <vt:lpstr>Fpxtwo</vt:lpstr>
      <vt:lpstr>Fpyone</vt:lpstr>
      <vt:lpstr>Fpythree</vt:lpstr>
      <vt:lpstr>Fpytwo</vt:lpstr>
      <vt:lpstr>Fpzone</vt:lpstr>
      <vt:lpstr>Fpzthree</vt:lpstr>
      <vt:lpstr>Fpztwo</vt:lpstr>
      <vt:lpstr>fsix</vt:lpstr>
      <vt:lpstr>fthree</vt:lpstr>
      <vt:lpstr>ftwo</vt:lpstr>
      <vt:lpstr>Gba</vt:lpstr>
      <vt:lpstr>Gbb</vt:lpstr>
      <vt:lpstr>Gbc</vt:lpstr>
      <vt:lpstr>Gbd</vt:lpstr>
      <vt:lpstr>Gbe</vt:lpstr>
      <vt:lpstr>Gbf</vt:lpstr>
      <vt:lpstr>lambda_1</vt:lpstr>
      <vt:lpstr>lambda_2</vt:lpstr>
      <vt:lpstr>lambda_3</vt:lpstr>
      <vt:lpstr>LotI</vt:lpstr>
      <vt:lpstr>LotN</vt:lpstr>
      <vt:lpstr>LtoI</vt:lpstr>
      <vt:lpstr>LtoN</vt:lpstr>
      <vt:lpstr>LttI</vt:lpstr>
      <vt:lpstr>LttN</vt:lpstr>
      <vt:lpstr>Matlab</vt:lpstr>
      <vt:lpstr>matlabball</vt:lpstr>
      <vt:lpstr>matlabgroove</vt:lpstr>
      <vt:lpstr>Mone</vt:lpstr>
      <vt:lpstr>Mthree</vt:lpstr>
      <vt:lpstr>Mtwo</vt:lpstr>
      <vt:lpstr>Nylon</vt:lpstr>
      <vt:lpstr>Other_4</vt:lpstr>
      <vt:lpstr>plastic</vt:lpstr>
      <vt:lpstr>Couplng.xls!Print_Area</vt:lpstr>
      <vt:lpstr>Raone</vt:lpstr>
      <vt:lpstr>Rathree</vt:lpstr>
      <vt:lpstr>Ratwo</vt:lpstr>
      <vt:lpstr>Rbmajor</vt:lpstr>
      <vt:lpstr>Rbminor</vt:lpstr>
      <vt:lpstr>Reone</vt:lpstr>
      <vt:lpstr>Rethree</vt:lpstr>
      <vt:lpstr>Retwo</vt:lpstr>
      <vt:lpstr>Rgone</vt:lpstr>
      <vt:lpstr>Rgroove</vt:lpstr>
      <vt:lpstr>Rgthree</vt:lpstr>
      <vt:lpstr>Rgtwo</vt:lpstr>
      <vt:lpstr>Rpone</vt:lpstr>
      <vt:lpstr>Rpthree</vt:lpstr>
      <vt:lpstr>Rptwo</vt:lpstr>
      <vt:lpstr>SiN</vt:lpstr>
      <vt:lpstr>Sone</vt:lpstr>
      <vt:lpstr>Steel</vt:lpstr>
      <vt:lpstr>Sthree</vt:lpstr>
      <vt:lpstr>Stwo</vt:lpstr>
      <vt:lpstr>theta_1</vt:lpstr>
      <vt:lpstr>theta_2</vt:lpstr>
      <vt:lpstr>theta_3</vt:lpstr>
      <vt:lpstr>Tot</vt:lpstr>
      <vt:lpstr>Tto</vt:lpstr>
      <vt:lpstr>Ttt</vt:lpstr>
      <vt:lpstr>vAlumina</vt:lpstr>
      <vt:lpstr>vbone</vt:lpstr>
      <vt:lpstr>vbthree</vt:lpstr>
      <vt:lpstr>vbtwo</vt:lpstr>
      <vt:lpstr>vgone</vt:lpstr>
      <vt:lpstr>vgthree</vt:lpstr>
      <vt:lpstr>vgtwo</vt:lpstr>
      <vt:lpstr>vother_4</vt:lpstr>
      <vt:lpstr>vplastic</vt:lpstr>
      <vt:lpstr>vSiN</vt:lpstr>
      <vt:lpstr>vSteel</vt:lpstr>
      <vt:lpstr>Xba</vt:lpstr>
      <vt:lpstr>Xbb</vt:lpstr>
      <vt:lpstr>Xbc</vt:lpstr>
      <vt:lpstr>Xbd</vt:lpstr>
      <vt:lpstr>Xbe</vt:lpstr>
      <vt:lpstr>Xbf</vt:lpstr>
      <vt:lpstr>xboneN</vt:lpstr>
      <vt:lpstr>xboneO</vt:lpstr>
      <vt:lpstr>xbthreeN</vt:lpstr>
      <vt:lpstr>xbthreeO</vt:lpstr>
      <vt:lpstr>xbtwoN</vt:lpstr>
      <vt:lpstr>xbtwoO</vt:lpstr>
      <vt:lpstr>xci</vt:lpstr>
      <vt:lpstr>xcn</vt:lpstr>
      <vt:lpstr>Xerr</vt:lpstr>
      <vt:lpstr>XL</vt:lpstr>
      <vt:lpstr>xpone</vt:lpstr>
      <vt:lpstr>xpthree</vt:lpstr>
      <vt:lpstr>xptwo</vt:lpstr>
      <vt:lpstr>Yba</vt:lpstr>
      <vt:lpstr>Ybb</vt:lpstr>
      <vt:lpstr>Ybc</vt:lpstr>
      <vt:lpstr>Ybd</vt:lpstr>
      <vt:lpstr>Ybe</vt:lpstr>
      <vt:lpstr>Ybf</vt:lpstr>
      <vt:lpstr>yboneN</vt:lpstr>
      <vt:lpstr>yboneO</vt:lpstr>
      <vt:lpstr>ybthreeN</vt:lpstr>
      <vt:lpstr>ybthreeO</vt:lpstr>
      <vt:lpstr>ybtwoN</vt:lpstr>
      <vt:lpstr>ybtwoO</vt:lpstr>
      <vt:lpstr>yci</vt:lpstr>
      <vt:lpstr>ycn</vt:lpstr>
      <vt:lpstr>Yerr</vt:lpstr>
      <vt:lpstr>YL</vt:lpstr>
      <vt:lpstr>ypone</vt:lpstr>
      <vt:lpstr>ypthree</vt:lpstr>
      <vt:lpstr>yptwo</vt:lpstr>
      <vt:lpstr>Zba</vt:lpstr>
      <vt:lpstr>Zbb</vt:lpstr>
      <vt:lpstr>Zbc</vt:lpstr>
      <vt:lpstr>Zbd</vt:lpstr>
      <vt:lpstr>Zbe</vt:lpstr>
      <vt:lpstr>Zbf</vt:lpstr>
      <vt:lpstr>zboneN</vt:lpstr>
      <vt:lpstr>zboneO</vt:lpstr>
      <vt:lpstr>zbthreeN</vt:lpstr>
      <vt:lpstr>zbthreeO</vt:lpstr>
      <vt:lpstr>zbtwoN</vt:lpstr>
      <vt:lpstr>zbtwoO</vt:lpstr>
      <vt:lpstr>zci</vt:lpstr>
      <vt:lpstr>zcn</vt:lpstr>
      <vt:lpstr>Zerr</vt:lpstr>
      <vt:lpstr>ZL</vt:lpstr>
      <vt:lpstr>zpone</vt:lpstr>
      <vt:lpstr>zpthree</vt:lpstr>
      <vt:lpstr>zptwo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slocum</dc:creator>
  <cp:lastModifiedBy>Hurlstone, Max (DLSLtd,RAL,DOD)</cp:lastModifiedBy>
  <cp:lastPrinted>2000-10-20T16:44:35Z</cp:lastPrinted>
  <dcterms:created xsi:type="dcterms:W3CDTF">1998-08-06T18:53:37Z</dcterms:created>
  <dcterms:modified xsi:type="dcterms:W3CDTF">2026-10-20T14:27:26Z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bd91a1-c90f-4601-bfd5-f396b8a3ebb4_Enabled">
    <vt:lpwstr>true</vt:lpwstr>
  </property>
  <property fmtid="{D5CDD505-2E9C-101B-9397-08002B2CF9AE}" pid="3" name="MSIP_Label_7abd91a1-c90f-4601-bfd5-f396b8a3ebb4_SetDate">
    <vt:lpwstr>2026-10-06T13:39:55Z</vt:lpwstr>
  </property>
  <property fmtid="{D5CDD505-2E9C-101B-9397-08002B2CF9AE}" pid="4" name="MSIP_Label_7abd91a1-c90f-4601-bfd5-f396b8a3ebb4_Method">
    <vt:lpwstr>Standard</vt:lpwstr>
  </property>
  <property fmtid="{D5CDD505-2E9C-101B-9397-08002B2CF9AE}" pid="5" name="MSIP_Label_7abd91a1-c90f-4601-bfd5-f396b8a3ebb4_Name">
    <vt:lpwstr>Internal</vt:lpwstr>
  </property>
  <property fmtid="{D5CDD505-2E9C-101B-9397-08002B2CF9AE}" pid="6" name="MSIP_Label_7abd91a1-c90f-4601-bfd5-f396b8a3ebb4_SiteId">
    <vt:lpwstr>9d27ba74-0100-4d0d-81ff-1d728dae8df6</vt:lpwstr>
  </property>
  <property fmtid="{D5CDD505-2E9C-101B-9397-08002B2CF9AE}" pid="7" name="MSIP_Label_7abd91a1-c90f-4601-bfd5-f396b8a3ebb4_ActionId">
    <vt:lpwstr>f7d1bca1-6a1f-4b87-9012-99ebd5b2a1ec</vt:lpwstr>
  </property>
  <property fmtid="{D5CDD505-2E9C-101B-9397-08002B2CF9AE}" pid="8" name="MSIP_Label_7abd91a1-c90f-4601-bfd5-f396b8a3ebb4_ContentBits">
    <vt:lpwstr>0</vt:lpwstr>
  </property>
</Properties>
</file>